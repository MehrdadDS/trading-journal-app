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 Folder\duo-verse-projects\trading-journal\"/>
    </mc:Choice>
  </mc:AlternateContent>
  <xr:revisionPtr revIDLastSave="0" documentId="13_ncr:1_{02DD294C-9217-4534-B6B3-E91DB579E776}" xr6:coauthVersionLast="47" xr6:coauthVersionMax="47" xr10:uidLastSave="{00000000-0000-0000-0000-000000000000}"/>
  <bookViews>
    <workbookView xWindow="-108" yWindow="-108" windowWidth="23256" windowHeight="12456" xr2:uid="{16BB7F68-8AA7-44F2-AC3D-C2F610FACF13}"/>
  </bookViews>
  <sheets>
    <sheet name="Sheet1" sheetId="1" r:id="rId1"/>
  </sheets>
  <definedNames>
    <definedName name="_xlnm._FilterDatabase" localSheetId="0" hidden="1">Sheet1!$A$1:$AB$57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2" i="1"/>
</calcChain>
</file>

<file path=xl/sharedStrings.xml><?xml version="1.0" encoding="utf-8"?>
<sst xmlns="http://schemas.openxmlformats.org/spreadsheetml/2006/main" count="700" uniqueCount="304">
  <si>
    <t>TradeID</t>
  </si>
  <si>
    <t>EntryDate</t>
  </si>
  <si>
    <t>FinInstrument</t>
  </si>
  <si>
    <t>ExitDate</t>
  </si>
  <si>
    <t>AssetType</t>
  </si>
  <si>
    <t>Direction</t>
  </si>
  <si>
    <t>EntryTime</t>
  </si>
  <si>
    <t>ExitTime</t>
  </si>
  <si>
    <t>Quantity</t>
  </si>
  <si>
    <t>AvgEntryPrice</t>
  </si>
  <si>
    <t>AvgExitPrice</t>
  </si>
  <si>
    <t>RealizedPL</t>
  </si>
  <si>
    <t>RealizedPLPct</t>
  </si>
  <si>
    <t>TotalCommission</t>
  </si>
  <si>
    <t>PositionValue</t>
  </si>
  <si>
    <t>TradeDuration</t>
  </si>
  <si>
    <t>TradeLength</t>
  </si>
  <si>
    <t>TradeType</t>
  </si>
  <si>
    <t>TradeOutcome</t>
  </si>
  <si>
    <t>Strategy</t>
  </si>
  <si>
    <t>Wday</t>
  </si>
  <si>
    <t>Key</t>
  </si>
  <si>
    <t>Year</t>
  </si>
  <si>
    <t>Month</t>
  </si>
  <si>
    <t>Week</t>
  </si>
  <si>
    <t>Link</t>
  </si>
  <si>
    <t>QQQ Apr02'26 580 CALL</t>
  </si>
  <si>
    <t>Option</t>
  </si>
  <si>
    <t>Long</t>
  </si>
  <si>
    <t>10:10:55</t>
  </si>
  <si>
    <t>10:14:03</t>
  </si>
  <si>
    <t>3 min</t>
  </si>
  <si>
    <t>Day Trade</t>
  </si>
  <si>
    <t>Winner</t>
  </si>
  <si>
    <t>Brando</t>
  </si>
  <si>
    <t>Thu</t>
  </si>
  <si>
    <t>46114QQQ Apr02'26 580 CALL4611410:14:03</t>
  </si>
  <si>
    <t>NIO</t>
  </si>
  <si>
    <t>Stock</t>
  </si>
  <si>
    <t>Short</t>
  </si>
  <si>
    <t>13:19:57</t>
  </si>
  <si>
    <t>10:12:09</t>
  </si>
  <si>
    <t>2d 20h</t>
  </si>
  <si>
    <t>Swing Trade</t>
  </si>
  <si>
    <t>Mehrdad</t>
  </si>
  <si>
    <t>46101NIO4611410:12:09</t>
  </si>
  <si>
    <t>AMZN Apr17'26 215 CALL</t>
  </si>
  <si>
    <t>09:48:06</t>
  </si>
  <si>
    <t>14:03:09</t>
  </si>
  <si>
    <t>4h 15m</t>
  </si>
  <si>
    <t>Loser</t>
  </si>
  <si>
    <t>Mon</t>
  </si>
  <si>
    <t>46118AMZN Apr17'26 215 CALL4611814:03:09</t>
  </si>
  <si>
    <t>OCC</t>
  </si>
  <si>
    <t>13:29:01</t>
  </si>
  <si>
    <t>17:44:24</t>
  </si>
  <si>
    <t>11d 4h</t>
  </si>
  <si>
    <t>Tue</t>
  </si>
  <si>
    <t>46108OCC4611917:44:24</t>
  </si>
  <si>
    <t>META Apr08'26 615 CALL</t>
  </si>
  <si>
    <t>12:14:16</t>
  </si>
  <si>
    <t>12:15:38</t>
  </si>
  <si>
    <t>1 min</t>
  </si>
  <si>
    <t>Wed</t>
  </si>
  <si>
    <t>46120META Apr08'26 615 CALL4612012:15:38</t>
  </si>
  <si>
    <t>MU Apr10'26 420 CALL</t>
  </si>
  <si>
    <t>12:37:12</t>
  </si>
  <si>
    <t>15:14:42</t>
  </si>
  <si>
    <t>1d 2h</t>
  </si>
  <si>
    <t>46120MU Apr10'26 420 CALL4612115:14:42</t>
  </si>
  <si>
    <t>QQQ Apr10'26 607 CALL</t>
  </si>
  <si>
    <t>09:40:18</t>
  </si>
  <si>
    <t>11:52:58</t>
  </si>
  <si>
    <t>2h 12m</t>
  </si>
  <si>
    <t>46121QQQ Apr10'26 607 CALL4612111:52:58</t>
  </si>
  <si>
    <t>ANET Apr10'26 105 PUT</t>
  </si>
  <si>
    <t>12:12:59</t>
  </si>
  <si>
    <t>16:00:00</t>
  </si>
  <si>
    <t>38d 3h</t>
  </si>
  <si>
    <t>Fri</t>
  </si>
  <si>
    <t>46084ANET Apr10'26 105 PUT4612216:00:00</t>
  </si>
  <si>
    <t>14:30:58</t>
  </si>
  <si>
    <t>10:41:24</t>
  </si>
  <si>
    <t>1d 20h</t>
  </si>
  <si>
    <t>46120OCC4612210:41:24</t>
  </si>
  <si>
    <t>AVGO Apr17'26 370 CALL</t>
  </si>
  <si>
    <t>10:07:29</t>
  </si>
  <si>
    <t>09:31:33</t>
  </si>
  <si>
    <t>23h</t>
  </si>
  <si>
    <t>46121AVGO Apr17'26 370 CALL4612209:31:33</t>
  </si>
  <si>
    <t>GFL</t>
  </si>
  <si>
    <t>11:44:18</t>
  </si>
  <si>
    <t>09:30:35</t>
  </si>
  <si>
    <t>12d 21h</t>
  </si>
  <si>
    <t>46112GFL4612509:30:35</t>
  </si>
  <si>
    <t>TSLA Apr15'26 365 CALL</t>
  </si>
  <si>
    <t>09:55:56</t>
  </si>
  <si>
    <t>10:08:55</t>
  </si>
  <si>
    <t>13 min</t>
  </si>
  <si>
    <t>Shoof</t>
  </si>
  <si>
    <t>46125TSLA Apr15'26 365 CALL4612510:08:55</t>
  </si>
  <si>
    <t>10:13:34</t>
  </si>
  <si>
    <t>10:17:28</t>
  </si>
  <si>
    <t>4 min</t>
  </si>
  <si>
    <t>46125TSLA Apr15'26 365 CALL4612510:17:28</t>
  </si>
  <si>
    <t>QQQ Apr15'26 617 CALL</t>
  </si>
  <si>
    <t>15:39:09</t>
  </si>
  <si>
    <t>15:53:20</t>
  </si>
  <si>
    <t>14 min</t>
  </si>
  <si>
    <t>46125QQQ Apr15'26 617 CALL4612515:53:20</t>
  </si>
  <si>
    <t>TSLA Apr17'26 360 CALL</t>
  </si>
  <si>
    <t>13:19:24</t>
  </si>
  <si>
    <t>09:30:52</t>
  </si>
  <si>
    <t>20h</t>
  </si>
  <si>
    <t>46125TSLA Apr17'26 360 CALL4612609:30:52</t>
  </si>
  <si>
    <t>QQQ Apr16'26 624 CALL</t>
  </si>
  <si>
    <t>10:12:32</t>
  </si>
  <si>
    <t>10:13:38</t>
  </si>
  <si>
    <t>46126QQQ Apr16'26 624 CALL4612610:13:38</t>
  </si>
  <si>
    <t>AAPL Apr17'26 265 CALL</t>
  </si>
  <si>
    <t>10:23:21</t>
  </si>
  <si>
    <t>11:14:36</t>
  </si>
  <si>
    <t>5d 0h</t>
  </si>
  <si>
    <t>46122AAPL Apr17'26 265 CALL4612711:14:36</t>
  </si>
  <si>
    <t>TSLA Apr17'26 372.5 CALL</t>
  </si>
  <si>
    <t>09:46:40</t>
  </si>
  <si>
    <t>09:49:40</t>
  </si>
  <si>
    <t>46127TSLA Apr17'26 372.5 CALL4612709:49:40</t>
  </si>
  <si>
    <t>QQQ Apr17'26 635 CALL</t>
  </si>
  <si>
    <t>11:17:07</t>
  </si>
  <si>
    <t>11:48:24</t>
  </si>
  <si>
    <t>31 min</t>
  </si>
  <si>
    <t>46127QQQ Apr17'26 635 CALL4612711:48:24</t>
  </si>
  <si>
    <t>COIN Apr17'26 200 CALL</t>
  </si>
  <si>
    <t>12:05:59</t>
  </si>
  <si>
    <t>12:35:02</t>
  </si>
  <si>
    <t>29 min</t>
  </si>
  <si>
    <t>46127COIN Apr17'26 200 CALL4612712:35:02</t>
  </si>
  <si>
    <t>QQQ Apr17'26 640 CALL</t>
  </si>
  <si>
    <t>09:42:23</t>
  </si>
  <si>
    <t>11:16:20</t>
  </si>
  <si>
    <t>1h 33m</t>
  </si>
  <si>
    <t>46128QQQ Apr17'26 640 CALL4612811:16:20</t>
  </si>
  <si>
    <t>MSTR Apr17'26 165 CALL</t>
  </si>
  <si>
    <t>09:48:10</t>
  </si>
  <si>
    <t>09:51:42</t>
  </si>
  <si>
    <t>46129MSTR Apr17'26 165 CALL4612909:51:42</t>
  </si>
  <si>
    <t>MSTR Apr24'26 170 CALL</t>
  </si>
  <si>
    <t>09:59:30</t>
  </si>
  <si>
    <t>10:23:00</t>
  </si>
  <si>
    <t>24.0 min</t>
  </si>
  <si>
    <t>46129MSTR Apr24'26 170 CALL4612910:23:00</t>
  </si>
  <si>
    <t>EDSA</t>
  </si>
  <si>
    <t>10:34:15</t>
  </si>
  <si>
    <t>10:33:39</t>
  </si>
  <si>
    <t>13d 23h</t>
  </si>
  <si>
    <t>46118EDSA4613210:33:39</t>
  </si>
  <si>
    <t>ARM Apr24'26 170 CALL</t>
  </si>
  <si>
    <t>11:29:19</t>
  </si>
  <si>
    <t>11:26:45</t>
  </si>
  <si>
    <t>3d 23h</t>
  </si>
  <si>
    <t>46128ARM Apr24'26 170 CALL4613211:26:45</t>
  </si>
  <si>
    <t>ARM Apr24'26 185 CALL</t>
  </si>
  <si>
    <t>13:10:33</t>
  </si>
  <si>
    <t>13:33:04</t>
  </si>
  <si>
    <t>23 min</t>
  </si>
  <si>
    <t>46132ARM Apr24'26 185 CALL4613213:33:04</t>
  </si>
  <si>
    <t>PLTR Apr24'26 150 CALL</t>
  </si>
  <si>
    <t>10:02:21</t>
  </si>
  <si>
    <t>10:15:26</t>
  </si>
  <si>
    <t>46133PLTR Apr24'26 150 CALL4613310:15:26</t>
  </si>
  <si>
    <t>CRWD Apr24'26 460 CALL</t>
  </si>
  <si>
    <t>13:18:13</t>
  </si>
  <si>
    <t>13:40:30</t>
  </si>
  <si>
    <t>22 min</t>
  </si>
  <si>
    <t>46133CRWD Apr24'26 460 CALL4613313:40:30</t>
  </si>
  <si>
    <t>QS Apr24'26 7.5 CALL</t>
  </si>
  <si>
    <t>10:17:43</t>
  </si>
  <si>
    <t>12:45:25</t>
  </si>
  <si>
    <t>46133QS Apr24'26 7.5 CALL4613412:45:25</t>
  </si>
  <si>
    <t>COIN Apr24'26 210 CALL</t>
  </si>
  <si>
    <t>09:55:05</t>
  </si>
  <si>
    <t>09:56:18</t>
  </si>
  <si>
    <t>46134COIN Apr24'26 210 CALL4613409:56:18</t>
  </si>
  <si>
    <t>PLTR May01'26 155 CALL</t>
  </si>
  <si>
    <t>10:12:35</t>
  </si>
  <si>
    <t>10:44:57</t>
  </si>
  <si>
    <t>32 min</t>
  </si>
  <si>
    <t>46134PLTR May01'26 155 CALL4613410:44:57</t>
  </si>
  <si>
    <t>QQQ Apr22'26 655 CALL</t>
  </si>
  <si>
    <t>13:12:22</t>
  </si>
  <si>
    <t>15:03:03</t>
  </si>
  <si>
    <t>1h 50m</t>
  </si>
  <si>
    <t>46134QQQ Apr22'26 655 CALL4613415:03:03</t>
  </si>
  <si>
    <t>QS</t>
  </si>
  <si>
    <t>12:23:42</t>
  </si>
  <si>
    <t>13:00:02</t>
  </si>
  <si>
    <t>20d</t>
  </si>
  <si>
    <t>46113QS4613413:00:02</t>
  </si>
  <si>
    <t>IREN May01'26 50 CALL</t>
  </si>
  <si>
    <t>09:34:35</t>
  </si>
  <si>
    <t>11:11:58</t>
  </si>
  <si>
    <t>1h 37m</t>
  </si>
  <si>
    <t>46135IREN May01'26 50 CALL4613511:11:58</t>
  </si>
  <si>
    <t>11:51:32</t>
  </si>
  <si>
    <t>12:44:33</t>
  </si>
  <si>
    <t>53 min</t>
  </si>
  <si>
    <t>46135IREN May01'26 50 CALL4613512:44:33</t>
  </si>
  <si>
    <t>QQQ Apr23'26 643 PUT</t>
  </si>
  <si>
    <t>13:53:17</t>
  </si>
  <si>
    <t>13:59:16</t>
  </si>
  <si>
    <t>6 min</t>
  </si>
  <si>
    <t>46135QQQ Apr23'26 643 PUT4613513:59:16</t>
  </si>
  <si>
    <t>OGS</t>
  </si>
  <si>
    <t>09:32:20</t>
  </si>
  <si>
    <t>12:13:59</t>
  </si>
  <si>
    <t>18d 2h</t>
  </si>
  <si>
    <t>46118OGS4613612:13:59</t>
  </si>
  <si>
    <t>ATLC</t>
  </si>
  <si>
    <t>11:54:48</t>
  </si>
  <si>
    <t>10:54:02</t>
  </si>
  <si>
    <t>2d 22h</t>
  </si>
  <si>
    <t>46133ATLC4613610:54:02</t>
  </si>
  <si>
    <t>QS May01'26 7.5 CALL</t>
  </si>
  <si>
    <t>13:01:08</t>
  </si>
  <si>
    <t>09:39:15</t>
  </si>
  <si>
    <t>46135QS May01'26 7.5 CALL4613609:39:15</t>
  </si>
  <si>
    <t>IREN May01'26 55 CALL</t>
  </si>
  <si>
    <t>14:40:03</t>
  </si>
  <si>
    <t>12:18:08</t>
  </si>
  <si>
    <t>21h</t>
  </si>
  <si>
    <t>46135IREN May01'26 55 CALL4613612:18:08</t>
  </si>
  <si>
    <t>NVDA May01'26 205 CALL</t>
  </si>
  <si>
    <t>09:40:12</t>
  </si>
  <si>
    <t>10:39:25</t>
  </si>
  <si>
    <t>59 min</t>
  </si>
  <si>
    <t>46136NVDA May01'26 205 CALL4613610:39:25</t>
  </si>
  <si>
    <t>NVDA May01'26 210 CALL</t>
  </si>
  <si>
    <t>11:02:00</t>
  </si>
  <si>
    <t>12:33:34</t>
  </si>
  <si>
    <t>1h 31m</t>
  </si>
  <si>
    <t>46136NVDA May01'26 210 CALL4613612:33:34</t>
  </si>
  <si>
    <t>META Apr24'26 680 CALL</t>
  </si>
  <si>
    <t>11:24:25</t>
  </si>
  <si>
    <t>11:31:37</t>
  </si>
  <si>
    <t>7 min</t>
  </si>
  <si>
    <t>46136META Apr24'26 680 CALL4613611:31:37</t>
  </si>
  <si>
    <t>IREN May08'26 55 CALL</t>
  </si>
  <si>
    <t>13:20:24</t>
  </si>
  <si>
    <t>15:24:40</t>
  </si>
  <si>
    <t>2h 4m</t>
  </si>
  <si>
    <t>46136IREN May08'26 55 CALL4613615:24:40</t>
  </si>
  <si>
    <t>46135QS4613609:39:15</t>
  </si>
  <si>
    <t>PYPL Apr24'26 51 CALL</t>
  </si>
  <si>
    <t>09:53:58</t>
  </si>
  <si>
    <t>6h 6m</t>
  </si>
  <si>
    <t>46136PYPL Apr24'26 51 CALL4613616:00:00</t>
  </si>
  <si>
    <t>GOOGL Apr24'26 347.5 CALL</t>
  </si>
  <si>
    <t>12:02:27</t>
  </si>
  <si>
    <t>3h 57m</t>
  </si>
  <si>
    <t>46136GOOGL Apr24'26 347.5 CALL4613616:00:00</t>
  </si>
  <si>
    <t>NVDA May01'26 215 CALL</t>
  </si>
  <si>
    <t>09:39:19</t>
  </si>
  <si>
    <t>13:19:26</t>
  </si>
  <si>
    <t>3h 40m</t>
  </si>
  <si>
    <t>46139NVDA May01'26 215 CALL4613913:19:26</t>
  </si>
  <si>
    <t>NVDA May08'26 215 CALL</t>
  </si>
  <si>
    <t>09:43:32</t>
  </si>
  <si>
    <t>14:19:19</t>
  </si>
  <si>
    <t>4h 35m</t>
  </si>
  <si>
    <t>46139NVDA May08'26 215 CALL4613914:19:19</t>
  </si>
  <si>
    <t>13:42:11</t>
  </si>
  <si>
    <t>10:12:41</t>
  </si>
  <si>
    <t>46139EDSA4614010:12:41</t>
  </si>
  <si>
    <t>CVS</t>
  </si>
  <si>
    <t>10:11:40</t>
  </si>
  <si>
    <t>15:23:51</t>
  </si>
  <si>
    <t>1d 5h</t>
  </si>
  <si>
    <t>46140CVS4614115:23:51</t>
  </si>
  <si>
    <t>CVS May15'26 85 CALL</t>
  </si>
  <si>
    <t>09:34:03</t>
  </si>
  <si>
    <t>15:22:12</t>
  </si>
  <si>
    <t>5h 48m</t>
  </si>
  <si>
    <t>46141CVS May15'26 85 CALL4614115:22:12</t>
  </si>
  <si>
    <t>CI</t>
  </si>
  <si>
    <t>13:29:33</t>
  </si>
  <si>
    <t>16:16:29</t>
  </si>
  <si>
    <t>2h 46m</t>
  </si>
  <si>
    <t>46141CI4614116:16:29</t>
  </si>
  <si>
    <t>IREN May15'26 60 CALL</t>
  </si>
  <si>
    <t>11:09:20</t>
  </si>
  <si>
    <t>09:56:28</t>
  </si>
  <si>
    <t>46139IREN May15'26 60 CALL4614209:56:28</t>
  </si>
  <si>
    <t>09:31:05</t>
  </si>
  <si>
    <t>10:08:15</t>
  </si>
  <si>
    <t>37 min</t>
  </si>
  <si>
    <t>46142CI4614210:08:15</t>
  </si>
  <si>
    <t>TSLA May01'26 385 CALL</t>
  </si>
  <si>
    <t>14:09:25</t>
  </si>
  <si>
    <t>14:35:37</t>
  </si>
  <si>
    <t>26 min</t>
  </si>
  <si>
    <t>46142TSLA May01'26 385 CALL4614214:35:37</t>
  </si>
  <si>
    <t>Score</t>
  </si>
  <si>
    <t>10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</si>
</sst>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14" fontId="2" fillId="2" borderId="1" xfId="0" applyNumberFormat="1" applyFont="1" applyFill="1" applyBorder="1" applyAlignment="1">
      <alignment horizontal="center"/>
    </xf>
    <xf numFmtId="14" fontId="2" fillId="2" borderId="2" xfId="0" applyNumberFormat="1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9" fontId="2" fillId="2" borderId="2" xfId="1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4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9" fontId="0" fillId="3" borderId="2" xfId="1" applyFont="1" applyFill="1" applyBorder="1" applyAlignment="1">
      <alignment horizontal="center" vertical="center"/>
    </xf>
    <xf numFmtId="3" fontId="0" fillId="3" borderId="2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4" fillId="3" borderId="3" xfId="2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 applyAlignment="1">
      <alignment horizontal="center"/>
    </xf>
    <xf numFmtId="9" fontId="0" fillId="0" borderId="2" xfId="1" applyFont="1" applyBorder="1" applyAlignment="1">
      <alignment horizontal="center" vertical="center"/>
    </xf>
    <xf numFmtId="3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4" fillId="0" borderId="3" xfId="2" applyNumberFormat="1" applyBorder="1" applyAlignment="1">
      <alignment horizontal="center" vertical="center"/>
    </xf>
    <xf numFmtId="49" fontId="0" fillId="0" borderId="0" xfId="0" applyNumberFormat="1"/>
    <xf numFmtId="49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Hyperlink" xfId="2" builtinId="8"/>
    <cellStyle name="Normal" xfId="0" builtinId="0"/>
    <cellStyle name="Percent" xfId="1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5631-5F16-4CCE-B93C-1B6C33097C13}">
  <dimension ref="A1:AB57"/>
  <sheetViews>
    <sheetView tabSelected="1" topLeftCell="M1" workbookViewId="0">
      <selection activeCell="V1" sqref="V1"/>
    </sheetView>
  </sheetViews>
  <sheetFormatPr defaultColWidth="8.6640625" defaultRowHeight="14.4" x14ac:dyDescent="0.3"/>
  <cols>
    <col min="1" max="1" width="7.44140625" bestFit="1" customWidth="1"/>
    <col min="2" max="2" width="10.33203125" bestFit="1" customWidth="1"/>
    <col min="3" max="3" width="24.33203125" bestFit="1" customWidth="1"/>
    <col min="4" max="4" width="10.33203125" bestFit="1" customWidth="1"/>
    <col min="5" max="5" width="9.44140625" bestFit="1" customWidth="1"/>
    <col min="7" max="7" width="9.33203125" bestFit="1" customWidth="1"/>
    <col min="8" max="8" width="8.21875" bestFit="1" customWidth="1"/>
    <col min="9" max="9" width="8.109375" bestFit="1" customWidth="1"/>
    <col min="10" max="10" width="12.44140625" bestFit="1" customWidth="1"/>
    <col min="11" max="11" width="11.33203125" bestFit="1" customWidth="1"/>
    <col min="12" max="12" width="10.21875" bestFit="1" customWidth="1"/>
    <col min="13" max="13" width="13.109375" bestFit="1" customWidth="1"/>
    <col min="14" max="14" width="15.6640625" bestFit="1" customWidth="1"/>
    <col min="15" max="15" width="12.44140625" bestFit="1" customWidth="1"/>
    <col min="16" max="16" width="12.77734375" bestFit="1" customWidth="1"/>
    <col min="17" max="17" width="11.109375" bestFit="1" customWidth="1"/>
    <col min="18" max="18" width="10.5546875" bestFit="1" customWidth="1"/>
    <col min="19" max="19" width="13.44140625" bestFit="1" customWidth="1"/>
    <col min="20" max="20" width="8.109375" bestFit="1" customWidth="1"/>
    <col min="21" max="21" width="5.6640625" bestFit="1" customWidth="1"/>
    <col min="22" max="22" width="42" bestFit="1" customWidth="1"/>
    <col min="23" max="23" width="5" bestFit="1" customWidth="1"/>
    <col min="24" max="24" width="6.109375" bestFit="1" customWidth="1"/>
    <col min="25" max="25" width="5.6640625" bestFit="1" customWidth="1"/>
    <col min="26" max="26" width="4.44140625" bestFit="1" customWidth="1"/>
    <col min="27" max="27" width="34.6640625" style="22" bestFit="1" customWidth="1"/>
    <col min="28" max="28" width="5.77734375" bestFit="1" customWidth="1"/>
  </cols>
  <sheetData>
    <row r="1" spans="1:28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3" t="s">
        <v>13</v>
      </c>
      <c r="O1" s="5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6" t="s">
        <v>25</v>
      </c>
      <c r="AA1" s="23" t="s">
        <v>21</v>
      </c>
      <c r="AB1" s="24" t="s">
        <v>302</v>
      </c>
    </row>
    <row r="2" spans="1:28" x14ac:dyDescent="0.3">
      <c r="A2" s="7">
        <v>317</v>
      </c>
      <c r="B2" s="8">
        <v>46114</v>
      </c>
      <c r="C2" s="9" t="s">
        <v>26</v>
      </c>
      <c r="D2" s="8">
        <v>46114</v>
      </c>
      <c r="E2" s="8" t="s">
        <v>27</v>
      </c>
      <c r="F2" s="8" t="s">
        <v>28</v>
      </c>
      <c r="G2" s="9" t="s">
        <v>29</v>
      </c>
      <c r="H2" s="9" t="s">
        <v>30</v>
      </c>
      <c r="I2" s="9">
        <v>1</v>
      </c>
      <c r="J2" s="9">
        <v>1.33</v>
      </c>
      <c r="K2" s="9">
        <v>1.41</v>
      </c>
      <c r="L2" s="9">
        <v>6.2</v>
      </c>
      <c r="M2" s="10">
        <v>4.6600000000000003E-2</v>
      </c>
      <c r="N2" s="9">
        <v>1.8</v>
      </c>
      <c r="O2" s="11">
        <v>133</v>
      </c>
      <c r="P2" s="12">
        <v>3.13</v>
      </c>
      <c r="Q2" s="12" t="s">
        <v>31</v>
      </c>
      <c r="R2" s="12" t="s">
        <v>32</v>
      </c>
      <c r="S2" s="12" t="s">
        <v>33</v>
      </c>
      <c r="T2" s="12" t="s">
        <v>34</v>
      </c>
      <c r="U2" s="12" t="s">
        <v>35</v>
      </c>
      <c r="V2" s="12" t="s">
        <v>36</v>
      </c>
      <c r="W2" s="12">
        <v>2026</v>
      </c>
      <c r="X2" s="12">
        <v>4</v>
      </c>
      <c r="Y2" s="12">
        <v>14</v>
      </c>
      <c r="Z2" s="13" t="s">
        <v>25</v>
      </c>
      <c r="AA2" t="str">
        <f>TEXT(D2,"yyyy-mm-dd")&amp;"-"&amp;C2</f>
        <v>2026-04-02-QQQ Apr02'26 580 CALL</v>
      </c>
      <c r="AB2" s="25">
        <v>1</v>
      </c>
    </row>
    <row r="3" spans="1:28" x14ac:dyDescent="0.3">
      <c r="A3" s="14">
        <v>318</v>
      </c>
      <c r="B3" s="15">
        <v>46101</v>
      </c>
      <c r="C3" s="16" t="s">
        <v>37</v>
      </c>
      <c r="D3" s="15">
        <v>46114</v>
      </c>
      <c r="E3" s="15" t="s">
        <v>38</v>
      </c>
      <c r="F3" s="15" t="s">
        <v>39</v>
      </c>
      <c r="G3" s="17" t="s">
        <v>40</v>
      </c>
      <c r="H3" s="17" t="s">
        <v>41</v>
      </c>
      <c r="I3" s="16">
        <v>200</v>
      </c>
      <c r="J3" s="16">
        <v>5.6</v>
      </c>
      <c r="K3" s="16">
        <v>6.17</v>
      </c>
      <c r="L3" s="16">
        <v>111.94</v>
      </c>
      <c r="M3" s="18">
        <v>0.10178571428571437</v>
      </c>
      <c r="N3" s="16">
        <v>2.04</v>
      </c>
      <c r="O3" s="19">
        <v>1196</v>
      </c>
      <c r="P3" s="20">
        <v>4132.2</v>
      </c>
      <c r="Q3" s="20" t="s">
        <v>42</v>
      </c>
      <c r="R3" s="20" t="s">
        <v>43</v>
      </c>
      <c r="S3" s="20" t="s">
        <v>33</v>
      </c>
      <c r="T3" s="20" t="s">
        <v>44</v>
      </c>
      <c r="U3" s="20" t="s">
        <v>35</v>
      </c>
      <c r="V3" s="20" t="s">
        <v>45</v>
      </c>
      <c r="W3" s="20">
        <v>2026</v>
      </c>
      <c r="X3" s="20">
        <v>4</v>
      </c>
      <c r="Y3" s="20">
        <v>14</v>
      </c>
      <c r="Z3" s="21" t="s">
        <v>25</v>
      </c>
      <c r="AA3" t="str">
        <f t="shared" ref="AA3:AA57" si="0">TEXT(D3,"yyyy-mm-dd")&amp;"-"&amp;C3</f>
        <v>2026-04-02-NIO</v>
      </c>
      <c r="AB3" s="26">
        <v>2</v>
      </c>
    </row>
    <row r="4" spans="1:28" x14ac:dyDescent="0.3">
      <c r="A4" s="7">
        <v>319</v>
      </c>
      <c r="B4" s="8">
        <v>46118</v>
      </c>
      <c r="C4" s="9" t="s">
        <v>46</v>
      </c>
      <c r="D4" s="8">
        <v>46118</v>
      </c>
      <c r="E4" s="8" t="s">
        <v>27</v>
      </c>
      <c r="F4" s="8" t="s">
        <v>28</v>
      </c>
      <c r="G4" s="9" t="s">
        <v>47</v>
      </c>
      <c r="H4" s="9" t="s">
        <v>48</v>
      </c>
      <c r="I4" s="9">
        <v>1</v>
      </c>
      <c r="J4" s="9">
        <v>3.61</v>
      </c>
      <c r="K4" s="9">
        <v>3.24</v>
      </c>
      <c r="L4" s="9">
        <v>-38.86</v>
      </c>
      <c r="M4" s="10">
        <v>-0.1076</v>
      </c>
      <c r="N4" s="9">
        <v>1.86</v>
      </c>
      <c r="O4" s="11">
        <v>361</v>
      </c>
      <c r="P4" s="12">
        <v>255.05</v>
      </c>
      <c r="Q4" s="12" t="s">
        <v>49</v>
      </c>
      <c r="R4" s="12" t="s">
        <v>32</v>
      </c>
      <c r="S4" s="12" t="s">
        <v>50</v>
      </c>
      <c r="T4" s="12" t="s">
        <v>44</v>
      </c>
      <c r="U4" s="12" t="s">
        <v>51</v>
      </c>
      <c r="V4" s="12" t="s">
        <v>52</v>
      </c>
      <c r="W4" s="12">
        <v>2026</v>
      </c>
      <c r="X4" s="12">
        <v>4</v>
      </c>
      <c r="Y4" s="12">
        <v>15</v>
      </c>
      <c r="Z4" s="13" t="s">
        <v>25</v>
      </c>
      <c r="AA4" t="str">
        <f t="shared" si="0"/>
        <v>2026-04-06-AMZN Apr17'26 215 CALL</v>
      </c>
      <c r="AB4" s="25">
        <v>3</v>
      </c>
    </row>
    <row r="5" spans="1:28" x14ac:dyDescent="0.3">
      <c r="A5" s="14">
        <v>320</v>
      </c>
      <c r="B5" s="15">
        <v>46108</v>
      </c>
      <c r="C5" s="16" t="s">
        <v>53</v>
      </c>
      <c r="D5" s="15">
        <v>46119</v>
      </c>
      <c r="E5" s="15" t="s">
        <v>38</v>
      </c>
      <c r="F5" s="15" t="s">
        <v>28</v>
      </c>
      <c r="G5" s="16" t="s">
        <v>54</v>
      </c>
      <c r="H5" s="16" t="s">
        <v>55</v>
      </c>
      <c r="I5" s="16">
        <v>100</v>
      </c>
      <c r="J5" s="16">
        <v>9.07</v>
      </c>
      <c r="K5" s="16">
        <v>9.85</v>
      </c>
      <c r="L5" s="16">
        <v>75.959999999999994</v>
      </c>
      <c r="M5" s="18">
        <v>8.3699999999999997E-2</v>
      </c>
      <c r="N5" s="16">
        <v>2.04</v>
      </c>
      <c r="O5" s="19">
        <v>907</v>
      </c>
      <c r="P5" s="20">
        <v>16095.38</v>
      </c>
      <c r="Q5" s="20" t="s">
        <v>56</v>
      </c>
      <c r="R5" s="20" t="s">
        <v>43</v>
      </c>
      <c r="S5" s="20" t="s">
        <v>33</v>
      </c>
      <c r="T5" s="20" t="s">
        <v>44</v>
      </c>
      <c r="U5" s="20" t="s">
        <v>57</v>
      </c>
      <c r="V5" s="20" t="s">
        <v>58</v>
      </c>
      <c r="W5" s="20">
        <v>2026</v>
      </c>
      <c r="X5" s="20">
        <v>4</v>
      </c>
      <c r="Y5" s="20">
        <v>15</v>
      </c>
      <c r="Z5" s="21" t="s">
        <v>25</v>
      </c>
      <c r="AA5" t="str">
        <f t="shared" si="0"/>
        <v>2026-04-07-OCC</v>
      </c>
      <c r="AB5" s="26">
        <v>4</v>
      </c>
    </row>
    <row r="6" spans="1:28" x14ac:dyDescent="0.3">
      <c r="A6" s="7">
        <v>321</v>
      </c>
      <c r="B6" s="8">
        <v>46120</v>
      </c>
      <c r="C6" s="9" t="s">
        <v>59</v>
      </c>
      <c r="D6" s="8">
        <v>46120</v>
      </c>
      <c r="E6" s="8" t="s">
        <v>27</v>
      </c>
      <c r="F6" s="8" t="s">
        <v>28</v>
      </c>
      <c r="G6" s="9" t="s">
        <v>60</v>
      </c>
      <c r="H6" s="9" t="s">
        <v>61</v>
      </c>
      <c r="I6" s="9">
        <v>1</v>
      </c>
      <c r="J6" s="9">
        <v>1.59</v>
      </c>
      <c r="K6" s="9">
        <v>2.63</v>
      </c>
      <c r="L6" s="9">
        <v>102.45</v>
      </c>
      <c r="M6" s="10">
        <v>0.64429999999999998</v>
      </c>
      <c r="N6" s="9">
        <v>1.55</v>
      </c>
      <c r="O6" s="11">
        <v>159</v>
      </c>
      <c r="P6" s="12">
        <v>1.37</v>
      </c>
      <c r="Q6" s="12" t="s">
        <v>62</v>
      </c>
      <c r="R6" s="12" t="s">
        <v>32</v>
      </c>
      <c r="S6" s="12" t="s">
        <v>33</v>
      </c>
      <c r="T6" s="12" t="s">
        <v>34</v>
      </c>
      <c r="U6" s="12" t="s">
        <v>63</v>
      </c>
      <c r="V6" s="12" t="s">
        <v>64</v>
      </c>
      <c r="W6" s="12">
        <v>2026</v>
      </c>
      <c r="X6" s="12">
        <v>4</v>
      </c>
      <c r="Y6" s="12">
        <v>15</v>
      </c>
      <c r="Z6" s="13" t="s">
        <v>25</v>
      </c>
      <c r="AA6" t="str">
        <f t="shared" si="0"/>
        <v>2026-04-08-META Apr08'26 615 CALL</v>
      </c>
      <c r="AB6" s="25">
        <v>5</v>
      </c>
    </row>
    <row r="7" spans="1:28" x14ac:dyDescent="0.3">
      <c r="A7" s="14">
        <v>322</v>
      </c>
      <c r="B7" s="15">
        <v>46120</v>
      </c>
      <c r="C7" s="16" t="s">
        <v>65</v>
      </c>
      <c r="D7" s="15">
        <v>46121</v>
      </c>
      <c r="E7" s="15" t="s">
        <v>27</v>
      </c>
      <c r="F7" s="15" t="s">
        <v>28</v>
      </c>
      <c r="G7" s="16" t="s">
        <v>66</v>
      </c>
      <c r="H7" s="16" t="s">
        <v>67</v>
      </c>
      <c r="I7" s="16">
        <v>1</v>
      </c>
      <c r="J7" s="16">
        <v>5.23</v>
      </c>
      <c r="K7" s="16">
        <v>6.37</v>
      </c>
      <c r="L7" s="16">
        <v>111.66</v>
      </c>
      <c r="M7" s="18">
        <v>0.2135</v>
      </c>
      <c r="N7" s="16">
        <v>2.34</v>
      </c>
      <c r="O7" s="19">
        <v>523</v>
      </c>
      <c r="P7" s="20">
        <v>1597.5</v>
      </c>
      <c r="Q7" s="20" t="s">
        <v>68</v>
      </c>
      <c r="R7" s="20" t="s">
        <v>43</v>
      </c>
      <c r="S7" s="20" t="s">
        <v>33</v>
      </c>
      <c r="T7" s="20" t="s">
        <v>34</v>
      </c>
      <c r="U7" s="20" t="s">
        <v>35</v>
      </c>
      <c r="V7" s="20" t="s">
        <v>69</v>
      </c>
      <c r="W7" s="20">
        <v>2026</v>
      </c>
      <c r="X7" s="20">
        <v>4</v>
      </c>
      <c r="Y7" s="20">
        <v>15</v>
      </c>
      <c r="Z7" s="21" t="s">
        <v>25</v>
      </c>
      <c r="AA7" t="str">
        <f t="shared" si="0"/>
        <v>2026-04-09-MU Apr10'26 420 CALL</v>
      </c>
      <c r="AB7" s="26">
        <v>6</v>
      </c>
    </row>
    <row r="8" spans="1:28" x14ac:dyDescent="0.3">
      <c r="A8" s="7">
        <v>323</v>
      </c>
      <c r="B8" s="8">
        <v>46121</v>
      </c>
      <c r="C8" s="9" t="s">
        <v>70</v>
      </c>
      <c r="D8" s="8">
        <v>46121</v>
      </c>
      <c r="E8" s="8" t="s">
        <v>27</v>
      </c>
      <c r="F8" s="8" t="s">
        <v>28</v>
      </c>
      <c r="G8" s="9" t="s">
        <v>71</v>
      </c>
      <c r="H8" s="9" t="s">
        <v>72</v>
      </c>
      <c r="I8" s="9">
        <v>1</v>
      </c>
      <c r="J8" s="9">
        <v>2.29</v>
      </c>
      <c r="K8" s="9">
        <v>3.42</v>
      </c>
      <c r="L8" s="9">
        <v>110.89</v>
      </c>
      <c r="M8" s="10">
        <v>0.48420000000000002</v>
      </c>
      <c r="N8" s="9">
        <v>2.11</v>
      </c>
      <c r="O8" s="11">
        <v>229</v>
      </c>
      <c r="P8" s="12">
        <v>132.66999999999999</v>
      </c>
      <c r="Q8" s="12" t="s">
        <v>73</v>
      </c>
      <c r="R8" s="12" t="s">
        <v>32</v>
      </c>
      <c r="S8" s="12" t="s">
        <v>33</v>
      </c>
      <c r="T8" s="12" t="s">
        <v>34</v>
      </c>
      <c r="U8" s="12" t="s">
        <v>35</v>
      </c>
      <c r="V8" s="12" t="s">
        <v>74</v>
      </c>
      <c r="W8" s="12">
        <v>2026</v>
      </c>
      <c r="X8" s="12">
        <v>4</v>
      </c>
      <c r="Y8" s="12">
        <v>15</v>
      </c>
      <c r="Z8" s="13" t="s">
        <v>25</v>
      </c>
      <c r="AA8" t="str">
        <f t="shared" si="0"/>
        <v>2026-04-09-QQQ Apr10'26 607 CALL</v>
      </c>
      <c r="AB8" s="25">
        <v>7</v>
      </c>
    </row>
    <row r="9" spans="1:28" x14ac:dyDescent="0.3">
      <c r="A9" s="14">
        <v>324</v>
      </c>
      <c r="B9" s="15">
        <v>46084</v>
      </c>
      <c r="C9" s="16" t="s">
        <v>75</v>
      </c>
      <c r="D9" s="15">
        <v>46122</v>
      </c>
      <c r="E9" s="15" t="s">
        <v>27</v>
      </c>
      <c r="F9" s="16" t="s">
        <v>28</v>
      </c>
      <c r="G9" s="16" t="s">
        <v>76</v>
      </c>
      <c r="H9" s="16" t="s">
        <v>77</v>
      </c>
      <c r="I9" s="16">
        <v>2</v>
      </c>
      <c r="J9" s="16">
        <v>1.29</v>
      </c>
      <c r="K9" s="16">
        <v>0</v>
      </c>
      <c r="L9" s="16">
        <v>-259.85000000000002</v>
      </c>
      <c r="M9" s="18">
        <v>-1.0072000000000001</v>
      </c>
      <c r="N9" s="16">
        <v>1.85</v>
      </c>
      <c r="O9" s="19">
        <v>258</v>
      </c>
      <c r="P9" s="20">
        <v>54947.02</v>
      </c>
      <c r="Q9" s="20" t="s">
        <v>78</v>
      </c>
      <c r="R9" s="20" t="s">
        <v>43</v>
      </c>
      <c r="S9" s="20" t="s">
        <v>50</v>
      </c>
      <c r="T9" s="20" t="s">
        <v>44</v>
      </c>
      <c r="U9" s="20" t="s">
        <v>79</v>
      </c>
      <c r="V9" s="20" t="s">
        <v>80</v>
      </c>
      <c r="W9" s="20">
        <v>2026</v>
      </c>
      <c r="X9" s="20">
        <v>4</v>
      </c>
      <c r="Y9" s="20">
        <v>15</v>
      </c>
      <c r="Z9" s="21" t="s">
        <v>25</v>
      </c>
      <c r="AA9" t="str">
        <f t="shared" si="0"/>
        <v>2026-04-10-ANET Apr10'26 105 PUT</v>
      </c>
      <c r="AB9" s="26">
        <v>8</v>
      </c>
    </row>
    <row r="10" spans="1:28" x14ac:dyDescent="0.3">
      <c r="A10" s="7">
        <v>325</v>
      </c>
      <c r="B10" s="8">
        <v>46120</v>
      </c>
      <c r="C10" s="9" t="s">
        <v>53</v>
      </c>
      <c r="D10" s="8">
        <v>46122</v>
      </c>
      <c r="E10" s="8" t="s">
        <v>38</v>
      </c>
      <c r="F10" s="9" t="s">
        <v>28</v>
      </c>
      <c r="G10" s="9" t="s">
        <v>81</v>
      </c>
      <c r="H10" s="9" t="s">
        <v>82</v>
      </c>
      <c r="I10" s="9">
        <v>100</v>
      </c>
      <c r="J10" s="9">
        <v>9.6999999999999993</v>
      </c>
      <c r="K10" s="9">
        <v>10.96</v>
      </c>
      <c r="L10" s="9">
        <v>123.96</v>
      </c>
      <c r="M10" s="10">
        <v>0.12790000000000001</v>
      </c>
      <c r="N10" s="9">
        <v>2.04</v>
      </c>
      <c r="O10" s="11">
        <v>969</v>
      </c>
      <c r="P10" s="12">
        <v>2650.43</v>
      </c>
      <c r="Q10" s="12" t="s">
        <v>83</v>
      </c>
      <c r="R10" s="12" t="s">
        <v>43</v>
      </c>
      <c r="S10" s="12" t="s">
        <v>33</v>
      </c>
      <c r="T10" s="12" t="s">
        <v>44</v>
      </c>
      <c r="U10" s="12" t="s">
        <v>79</v>
      </c>
      <c r="V10" s="12" t="s">
        <v>84</v>
      </c>
      <c r="W10" s="12">
        <v>2026</v>
      </c>
      <c r="X10" s="12">
        <v>4</v>
      </c>
      <c r="Y10" s="12">
        <v>15</v>
      </c>
      <c r="Z10" s="13" t="s">
        <v>25</v>
      </c>
      <c r="AA10" t="str">
        <f t="shared" si="0"/>
        <v>2026-04-10-OCC</v>
      </c>
      <c r="AB10" s="25">
        <v>9</v>
      </c>
    </row>
    <row r="11" spans="1:28" x14ac:dyDescent="0.3">
      <c r="A11" s="14">
        <v>326</v>
      </c>
      <c r="B11" s="15">
        <v>46121</v>
      </c>
      <c r="C11" s="16" t="s">
        <v>85</v>
      </c>
      <c r="D11" s="15">
        <v>46122</v>
      </c>
      <c r="E11" s="15" t="s">
        <v>27</v>
      </c>
      <c r="F11" s="16" t="s">
        <v>28</v>
      </c>
      <c r="G11" s="16" t="s">
        <v>86</v>
      </c>
      <c r="H11" s="16" t="s">
        <v>87</v>
      </c>
      <c r="I11" s="16">
        <v>1</v>
      </c>
      <c r="J11" s="16">
        <v>3.82</v>
      </c>
      <c r="K11" s="16">
        <v>7.34</v>
      </c>
      <c r="L11" s="16">
        <v>350.38</v>
      </c>
      <c r="M11" s="18">
        <v>0.91720000000000002</v>
      </c>
      <c r="N11" s="16">
        <v>1.62</v>
      </c>
      <c r="O11" s="19">
        <v>382</v>
      </c>
      <c r="P11" s="20">
        <v>1404.07</v>
      </c>
      <c r="Q11" s="20" t="s">
        <v>88</v>
      </c>
      <c r="R11" s="20" t="s">
        <v>43</v>
      </c>
      <c r="S11" s="20" t="s">
        <v>33</v>
      </c>
      <c r="T11" s="20" t="s">
        <v>34</v>
      </c>
      <c r="U11" s="20" t="s">
        <v>79</v>
      </c>
      <c r="V11" s="20" t="s">
        <v>89</v>
      </c>
      <c r="W11" s="20">
        <v>2026</v>
      </c>
      <c r="X11" s="20">
        <v>4</v>
      </c>
      <c r="Y11" s="20">
        <v>15</v>
      </c>
      <c r="Z11" s="21" t="s">
        <v>25</v>
      </c>
      <c r="AA11" t="str">
        <f t="shared" si="0"/>
        <v>2026-04-10-AVGO Apr17'26 370 CALL</v>
      </c>
      <c r="AB11" s="26">
        <v>10</v>
      </c>
    </row>
    <row r="12" spans="1:28" x14ac:dyDescent="0.3">
      <c r="A12" s="7">
        <v>327</v>
      </c>
      <c r="B12" s="8">
        <v>46112</v>
      </c>
      <c r="C12" s="9" t="s">
        <v>90</v>
      </c>
      <c r="D12" s="8">
        <v>46125</v>
      </c>
      <c r="E12" s="8" t="s">
        <v>38</v>
      </c>
      <c r="F12" s="8" t="s">
        <v>39</v>
      </c>
      <c r="G12" s="9" t="s">
        <v>91</v>
      </c>
      <c r="H12" s="9" t="s">
        <v>92</v>
      </c>
      <c r="I12" s="9">
        <v>50</v>
      </c>
      <c r="J12" s="9">
        <v>41.23</v>
      </c>
      <c r="K12" s="9">
        <v>40.47</v>
      </c>
      <c r="L12" s="9">
        <v>35.99</v>
      </c>
      <c r="M12" s="10">
        <v>1.7500000000000002E-2</v>
      </c>
      <c r="N12" s="9">
        <v>2.0099999999999998</v>
      </c>
      <c r="O12" s="11">
        <v>2061</v>
      </c>
      <c r="P12" s="12">
        <v>18586.28</v>
      </c>
      <c r="Q12" s="12" t="s">
        <v>93</v>
      </c>
      <c r="R12" s="12" t="s">
        <v>43</v>
      </c>
      <c r="S12" s="12" t="s">
        <v>33</v>
      </c>
      <c r="T12" s="12" t="s">
        <v>44</v>
      </c>
      <c r="U12" s="12" t="s">
        <v>51</v>
      </c>
      <c r="V12" s="12" t="s">
        <v>94</v>
      </c>
      <c r="W12" s="12">
        <v>2026</v>
      </c>
      <c r="X12" s="12">
        <v>4</v>
      </c>
      <c r="Y12" s="12">
        <v>16</v>
      </c>
      <c r="Z12" s="13" t="s">
        <v>25</v>
      </c>
      <c r="AA12" t="str">
        <f t="shared" si="0"/>
        <v>2026-04-13-GFL</v>
      </c>
      <c r="AB12" s="25">
        <v>11</v>
      </c>
    </row>
    <row r="13" spans="1:28" x14ac:dyDescent="0.3">
      <c r="A13" s="14">
        <v>328</v>
      </c>
      <c r="B13" s="15">
        <v>46125</v>
      </c>
      <c r="C13" s="16" t="s">
        <v>95</v>
      </c>
      <c r="D13" s="15">
        <v>46125</v>
      </c>
      <c r="E13" s="15" t="s">
        <v>27</v>
      </c>
      <c r="F13" s="15" t="s">
        <v>28</v>
      </c>
      <c r="G13" s="16" t="s">
        <v>96</v>
      </c>
      <c r="H13" s="16" t="s">
        <v>97</v>
      </c>
      <c r="I13" s="16">
        <v>1</v>
      </c>
      <c r="J13" s="16">
        <v>1.48</v>
      </c>
      <c r="K13" s="16">
        <v>1.58</v>
      </c>
      <c r="L13" s="16">
        <v>7.9</v>
      </c>
      <c r="M13" s="18">
        <v>5.3400000000000003E-2</v>
      </c>
      <c r="N13" s="16">
        <v>2.1</v>
      </c>
      <c r="O13" s="19">
        <v>148</v>
      </c>
      <c r="P13" s="20">
        <v>12.98</v>
      </c>
      <c r="Q13" s="20" t="s">
        <v>98</v>
      </c>
      <c r="R13" s="20" t="s">
        <v>32</v>
      </c>
      <c r="S13" s="20" t="s">
        <v>33</v>
      </c>
      <c r="T13" s="20" t="s">
        <v>99</v>
      </c>
      <c r="U13" s="20" t="s">
        <v>51</v>
      </c>
      <c r="V13" s="20" t="s">
        <v>100</v>
      </c>
      <c r="W13" s="20">
        <v>2026</v>
      </c>
      <c r="X13" s="20">
        <v>4</v>
      </c>
      <c r="Y13" s="20">
        <v>16</v>
      </c>
      <c r="Z13" s="21" t="s">
        <v>25</v>
      </c>
      <c r="AA13" t="str">
        <f t="shared" si="0"/>
        <v>2026-04-13-TSLA Apr15'26 365 CALL</v>
      </c>
      <c r="AB13" s="26">
        <v>12</v>
      </c>
    </row>
    <row r="14" spans="1:28" x14ac:dyDescent="0.3">
      <c r="A14" s="7">
        <v>329</v>
      </c>
      <c r="B14" s="8">
        <v>46125</v>
      </c>
      <c r="C14" s="9" t="s">
        <v>95</v>
      </c>
      <c r="D14" s="8">
        <v>46125</v>
      </c>
      <c r="E14" s="8" t="s">
        <v>27</v>
      </c>
      <c r="F14" s="8" t="s">
        <v>28</v>
      </c>
      <c r="G14" s="9" t="s">
        <v>101</v>
      </c>
      <c r="H14" s="9" t="s">
        <v>102</v>
      </c>
      <c r="I14" s="9">
        <v>1</v>
      </c>
      <c r="J14" s="9">
        <v>1.37</v>
      </c>
      <c r="K14" s="9">
        <v>1.05</v>
      </c>
      <c r="L14" s="9">
        <v>-34.08</v>
      </c>
      <c r="M14" s="10">
        <v>-0.24879999999999999</v>
      </c>
      <c r="N14" s="9">
        <v>2.08</v>
      </c>
      <c r="O14" s="11">
        <v>137</v>
      </c>
      <c r="P14" s="12">
        <v>3.9</v>
      </c>
      <c r="Q14" s="12" t="s">
        <v>103</v>
      </c>
      <c r="R14" s="12" t="s">
        <v>32</v>
      </c>
      <c r="S14" s="12" t="s">
        <v>50</v>
      </c>
      <c r="T14" s="12" t="s">
        <v>44</v>
      </c>
      <c r="U14" s="12" t="s">
        <v>51</v>
      </c>
      <c r="V14" s="12" t="s">
        <v>104</v>
      </c>
      <c r="W14" s="12">
        <v>2026</v>
      </c>
      <c r="X14" s="12">
        <v>4</v>
      </c>
      <c r="Y14" s="12">
        <v>16</v>
      </c>
      <c r="Z14" s="13" t="s">
        <v>25</v>
      </c>
      <c r="AA14" t="str">
        <f t="shared" si="0"/>
        <v>2026-04-13-TSLA Apr15'26 365 CALL</v>
      </c>
      <c r="AB14" s="25">
        <v>13</v>
      </c>
    </row>
    <row r="15" spans="1:28" x14ac:dyDescent="0.3">
      <c r="A15" s="14">
        <v>330</v>
      </c>
      <c r="B15" s="15">
        <v>46125</v>
      </c>
      <c r="C15" s="16" t="s">
        <v>105</v>
      </c>
      <c r="D15" s="15">
        <v>46125</v>
      </c>
      <c r="E15" s="15" t="s">
        <v>27</v>
      </c>
      <c r="F15" s="15" t="s">
        <v>28</v>
      </c>
      <c r="G15" s="16" t="s">
        <v>106</v>
      </c>
      <c r="H15" s="16" t="s">
        <v>107</v>
      </c>
      <c r="I15" s="16">
        <v>1</v>
      </c>
      <c r="J15" s="16">
        <v>2.4300000000000002</v>
      </c>
      <c r="K15" s="16">
        <v>2.93</v>
      </c>
      <c r="L15" s="16">
        <v>48.19</v>
      </c>
      <c r="M15" s="18">
        <v>0.1983</v>
      </c>
      <c r="N15" s="16">
        <v>1.81</v>
      </c>
      <c r="O15" s="19">
        <v>243</v>
      </c>
      <c r="P15" s="20">
        <v>14.18</v>
      </c>
      <c r="Q15" s="20" t="s">
        <v>108</v>
      </c>
      <c r="R15" s="20" t="s">
        <v>32</v>
      </c>
      <c r="S15" s="20" t="s">
        <v>33</v>
      </c>
      <c r="T15" s="20" t="s">
        <v>34</v>
      </c>
      <c r="U15" s="20" t="s">
        <v>51</v>
      </c>
      <c r="V15" s="20" t="s">
        <v>109</v>
      </c>
      <c r="W15" s="20">
        <v>2026</v>
      </c>
      <c r="X15" s="20">
        <v>4</v>
      </c>
      <c r="Y15" s="20">
        <v>16</v>
      </c>
      <c r="Z15" s="21" t="s">
        <v>25</v>
      </c>
      <c r="AA15" t="str">
        <f t="shared" si="0"/>
        <v>2026-04-13-QQQ Apr15'26 617 CALL</v>
      </c>
      <c r="AB15" s="26">
        <v>14</v>
      </c>
    </row>
    <row r="16" spans="1:28" x14ac:dyDescent="0.3">
      <c r="A16" s="7">
        <v>331</v>
      </c>
      <c r="B16" s="8">
        <v>46125</v>
      </c>
      <c r="C16" s="9" t="s">
        <v>110</v>
      </c>
      <c r="D16" s="8">
        <v>46126</v>
      </c>
      <c r="E16" s="8" t="s">
        <v>27</v>
      </c>
      <c r="F16" s="8" t="s">
        <v>28</v>
      </c>
      <c r="G16" s="9" t="s">
        <v>111</v>
      </c>
      <c r="H16" s="9" t="s">
        <v>112</v>
      </c>
      <c r="I16" s="9">
        <v>1</v>
      </c>
      <c r="J16" s="9">
        <v>3.89</v>
      </c>
      <c r="K16" s="9">
        <v>4.7300000000000004</v>
      </c>
      <c r="L16" s="9">
        <v>81.89</v>
      </c>
      <c r="M16" s="10">
        <v>0.21049999999999999</v>
      </c>
      <c r="N16" s="9">
        <v>2.11</v>
      </c>
      <c r="O16" s="11">
        <v>389</v>
      </c>
      <c r="P16" s="12">
        <v>1211.47</v>
      </c>
      <c r="Q16" s="12" t="s">
        <v>113</v>
      </c>
      <c r="R16" s="12" t="s">
        <v>43</v>
      </c>
      <c r="S16" s="12" t="s">
        <v>33</v>
      </c>
      <c r="T16" s="12" t="s">
        <v>99</v>
      </c>
      <c r="U16" s="12" t="s">
        <v>57</v>
      </c>
      <c r="V16" s="12" t="s">
        <v>114</v>
      </c>
      <c r="W16" s="12">
        <v>2026</v>
      </c>
      <c r="X16" s="12">
        <v>4</v>
      </c>
      <c r="Y16" s="12">
        <v>16</v>
      </c>
      <c r="Z16" s="13" t="s">
        <v>25</v>
      </c>
      <c r="AA16" t="str">
        <f t="shared" si="0"/>
        <v>2026-04-14-TSLA Apr17'26 360 CALL</v>
      </c>
      <c r="AB16" s="25">
        <v>15</v>
      </c>
    </row>
    <row r="17" spans="1:28" x14ac:dyDescent="0.3">
      <c r="A17" s="14">
        <v>332</v>
      </c>
      <c r="B17" s="15">
        <v>46126</v>
      </c>
      <c r="C17" s="16" t="s">
        <v>115</v>
      </c>
      <c r="D17" s="15">
        <v>46126</v>
      </c>
      <c r="E17" s="15" t="s">
        <v>27</v>
      </c>
      <c r="F17" s="15" t="s">
        <v>28</v>
      </c>
      <c r="G17" s="16" t="s">
        <v>116</v>
      </c>
      <c r="H17" s="16" t="s">
        <v>117</v>
      </c>
      <c r="I17" s="16">
        <v>1</v>
      </c>
      <c r="J17" s="16">
        <v>2.46</v>
      </c>
      <c r="K17" s="16">
        <v>2.5499999999999998</v>
      </c>
      <c r="L17" s="16">
        <v>7.49</v>
      </c>
      <c r="M17" s="18">
        <v>3.04E-2</v>
      </c>
      <c r="N17" s="16">
        <v>1.51</v>
      </c>
      <c r="O17" s="19">
        <v>246</v>
      </c>
      <c r="P17" s="20">
        <v>1.1000000000000001</v>
      </c>
      <c r="Q17" s="20" t="s">
        <v>62</v>
      </c>
      <c r="R17" s="20" t="s">
        <v>32</v>
      </c>
      <c r="S17" s="20" t="s">
        <v>33</v>
      </c>
      <c r="T17" s="20" t="s">
        <v>34</v>
      </c>
      <c r="U17" s="20" t="s">
        <v>57</v>
      </c>
      <c r="V17" s="20" t="s">
        <v>118</v>
      </c>
      <c r="W17" s="20">
        <v>2026</v>
      </c>
      <c r="X17" s="20">
        <v>4</v>
      </c>
      <c r="Y17" s="20">
        <v>16</v>
      </c>
      <c r="Z17" s="21" t="s">
        <v>25</v>
      </c>
      <c r="AA17" t="str">
        <f t="shared" si="0"/>
        <v>2026-04-14-QQQ Apr16'26 624 CALL</v>
      </c>
      <c r="AB17" s="26">
        <v>16</v>
      </c>
    </row>
    <row r="18" spans="1:28" x14ac:dyDescent="0.3">
      <c r="A18" s="7">
        <v>333</v>
      </c>
      <c r="B18" s="8">
        <v>46122</v>
      </c>
      <c r="C18" s="9" t="s">
        <v>119</v>
      </c>
      <c r="D18" s="8">
        <v>46127</v>
      </c>
      <c r="E18" s="8" t="s">
        <v>27</v>
      </c>
      <c r="F18" s="8" t="s">
        <v>28</v>
      </c>
      <c r="G18" s="9" t="s">
        <v>120</v>
      </c>
      <c r="H18" s="9" t="s">
        <v>121</v>
      </c>
      <c r="I18" s="9">
        <v>1</v>
      </c>
      <c r="J18" s="9">
        <v>1.93</v>
      </c>
      <c r="K18" s="9">
        <v>1.88</v>
      </c>
      <c r="L18" s="9">
        <v>-6.27</v>
      </c>
      <c r="M18" s="10">
        <v>-3.2500000000000001E-2</v>
      </c>
      <c r="N18" s="9">
        <v>1.27</v>
      </c>
      <c r="O18" s="11">
        <v>193</v>
      </c>
      <c r="P18" s="12">
        <v>7251.25</v>
      </c>
      <c r="Q18" s="12" t="s">
        <v>122</v>
      </c>
      <c r="R18" s="12" t="s">
        <v>43</v>
      </c>
      <c r="S18" s="12" t="s">
        <v>50</v>
      </c>
      <c r="T18" s="12" t="s">
        <v>99</v>
      </c>
      <c r="U18" s="12" t="s">
        <v>63</v>
      </c>
      <c r="V18" s="12" t="s">
        <v>123</v>
      </c>
      <c r="W18" s="12">
        <v>2026</v>
      </c>
      <c r="X18" s="12">
        <v>4</v>
      </c>
      <c r="Y18" s="12">
        <v>16</v>
      </c>
      <c r="Z18" s="13" t="s">
        <v>25</v>
      </c>
      <c r="AA18" t="str">
        <f t="shared" si="0"/>
        <v>2026-04-15-AAPL Apr17'26 265 CALL</v>
      </c>
      <c r="AB18" s="25">
        <v>17</v>
      </c>
    </row>
    <row r="19" spans="1:28" x14ac:dyDescent="0.3">
      <c r="A19" s="14">
        <v>334</v>
      </c>
      <c r="B19" s="15">
        <v>46127</v>
      </c>
      <c r="C19" s="16" t="s">
        <v>124</v>
      </c>
      <c r="D19" s="15">
        <v>46127</v>
      </c>
      <c r="E19" s="15" t="s">
        <v>27</v>
      </c>
      <c r="F19" s="15" t="s">
        <v>28</v>
      </c>
      <c r="G19" s="16" t="s">
        <v>125</v>
      </c>
      <c r="H19" s="16" t="s">
        <v>126</v>
      </c>
      <c r="I19" s="16">
        <v>1</v>
      </c>
      <c r="J19" s="16">
        <v>3.42</v>
      </c>
      <c r="K19" s="16">
        <v>3.92</v>
      </c>
      <c r="L19" s="16">
        <v>48.14</v>
      </c>
      <c r="M19" s="18">
        <v>0.14080000000000001</v>
      </c>
      <c r="N19" s="16">
        <v>1.86</v>
      </c>
      <c r="O19" s="19">
        <v>342</v>
      </c>
      <c r="P19" s="20">
        <v>3</v>
      </c>
      <c r="Q19" s="20" t="s">
        <v>31</v>
      </c>
      <c r="R19" s="20" t="s">
        <v>32</v>
      </c>
      <c r="S19" s="20" t="s">
        <v>33</v>
      </c>
      <c r="T19" s="20" t="s">
        <v>44</v>
      </c>
      <c r="U19" s="20" t="s">
        <v>63</v>
      </c>
      <c r="V19" s="20" t="s">
        <v>127</v>
      </c>
      <c r="W19" s="20">
        <v>2026</v>
      </c>
      <c r="X19" s="20">
        <v>4</v>
      </c>
      <c r="Y19" s="20">
        <v>16</v>
      </c>
      <c r="Z19" s="21" t="s">
        <v>25</v>
      </c>
      <c r="AA19" t="str">
        <f t="shared" si="0"/>
        <v>2026-04-15-TSLA Apr17'26 372.5 CALL</v>
      </c>
      <c r="AB19" s="26">
        <v>18</v>
      </c>
    </row>
    <row r="20" spans="1:28" x14ac:dyDescent="0.3">
      <c r="A20" s="7">
        <v>335</v>
      </c>
      <c r="B20" s="8">
        <v>46127</v>
      </c>
      <c r="C20" s="9" t="s">
        <v>128</v>
      </c>
      <c r="D20" s="8">
        <v>46127</v>
      </c>
      <c r="E20" s="8" t="s">
        <v>27</v>
      </c>
      <c r="F20" s="8" t="s">
        <v>28</v>
      </c>
      <c r="G20" s="9" t="s">
        <v>129</v>
      </c>
      <c r="H20" s="9" t="s">
        <v>130</v>
      </c>
      <c r="I20" s="9">
        <v>1</v>
      </c>
      <c r="J20" s="9">
        <v>2.69</v>
      </c>
      <c r="K20" s="9">
        <v>2.88</v>
      </c>
      <c r="L20" s="9">
        <v>17.190000000000001</v>
      </c>
      <c r="M20" s="10">
        <v>6.3899999999999998E-2</v>
      </c>
      <c r="N20" s="9">
        <v>1.81</v>
      </c>
      <c r="O20" s="11">
        <v>269</v>
      </c>
      <c r="P20" s="12">
        <v>31.28</v>
      </c>
      <c r="Q20" s="12" t="s">
        <v>131</v>
      </c>
      <c r="R20" s="12" t="s">
        <v>32</v>
      </c>
      <c r="S20" s="12" t="s">
        <v>33</v>
      </c>
      <c r="T20" s="12" t="s">
        <v>34</v>
      </c>
      <c r="U20" s="12" t="s">
        <v>63</v>
      </c>
      <c r="V20" s="12" t="s">
        <v>132</v>
      </c>
      <c r="W20" s="12">
        <v>2026</v>
      </c>
      <c r="X20" s="12">
        <v>4</v>
      </c>
      <c r="Y20" s="12">
        <v>16</v>
      </c>
      <c r="Z20" s="13" t="s">
        <v>25</v>
      </c>
      <c r="AA20" t="str">
        <f t="shared" si="0"/>
        <v>2026-04-15-QQQ Apr17'26 635 CALL</v>
      </c>
      <c r="AB20" s="25">
        <v>19</v>
      </c>
    </row>
    <row r="21" spans="1:28" x14ac:dyDescent="0.3">
      <c r="A21" s="14">
        <v>336</v>
      </c>
      <c r="B21" s="15">
        <v>46127</v>
      </c>
      <c r="C21" s="16" t="s">
        <v>133</v>
      </c>
      <c r="D21" s="15">
        <v>46127</v>
      </c>
      <c r="E21" s="15" t="s">
        <v>27</v>
      </c>
      <c r="F21" s="15" t="s">
        <v>28</v>
      </c>
      <c r="G21" s="16" t="s">
        <v>134</v>
      </c>
      <c r="H21" s="16" t="s">
        <v>135</v>
      </c>
      <c r="I21" s="16">
        <v>1</v>
      </c>
      <c r="J21" s="16">
        <v>1.82</v>
      </c>
      <c r="K21" s="16">
        <v>1.8</v>
      </c>
      <c r="L21" s="16">
        <v>-3.85</v>
      </c>
      <c r="M21" s="18">
        <v>-2.12E-2</v>
      </c>
      <c r="N21" s="16">
        <v>1.85</v>
      </c>
      <c r="O21" s="19">
        <v>182</v>
      </c>
      <c r="P21" s="20">
        <v>29.05</v>
      </c>
      <c r="Q21" s="20" t="s">
        <v>136</v>
      </c>
      <c r="R21" s="20" t="s">
        <v>32</v>
      </c>
      <c r="S21" s="20" t="s">
        <v>50</v>
      </c>
      <c r="T21" s="20" t="s">
        <v>44</v>
      </c>
      <c r="U21" s="20" t="s">
        <v>63</v>
      </c>
      <c r="V21" s="20" t="s">
        <v>137</v>
      </c>
      <c r="W21" s="20">
        <v>2026</v>
      </c>
      <c r="X21" s="20">
        <v>4</v>
      </c>
      <c r="Y21" s="20">
        <v>16</v>
      </c>
      <c r="Z21" s="21" t="s">
        <v>25</v>
      </c>
      <c r="AA21" t="str">
        <f t="shared" si="0"/>
        <v>2026-04-15-COIN Apr17'26 200 CALL</v>
      </c>
      <c r="AB21" s="26">
        <v>20</v>
      </c>
    </row>
    <row r="22" spans="1:28" x14ac:dyDescent="0.3">
      <c r="A22" s="7">
        <v>337</v>
      </c>
      <c r="B22" s="8">
        <v>46128</v>
      </c>
      <c r="C22" s="9" t="s">
        <v>138</v>
      </c>
      <c r="D22" s="8">
        <v>46128</v>
      </c>
      <c r="E22" s="8" t="s">
        <v>27</v>
      </c>
      <c r="F22" s="8" t="s">
        <v>28</v>
      </c>
      <c r="G22" s="9" t="s">
        <v>139</v>
      </c>
      <c r="H22" s="9" t="s">
        <v>140</v>
      </c>
      <c r="I22" s="9">
        <v>1</v>
      </c>
      <c r="J22" s="9">
        <v>2.15</v>
      </c>
      <c r="K22" s="9">
        <v>3.16</v>
      </c>
      <c r="L22" s="9">
        <v>98.89</v>
      </c>
      <c r="M22" s="10">
        <v>0.46</v>
      </c>
      <c r="N22" s="9">
        <v>2.11</v>
      </c>
      <c r="O22" s="11">
        <v>215</v>
      </c>
      <c r="P22" s="12">
        <v>93.95</v>
      </c>
      <c r="Q22" s="12" t="s">
        <v>141</v>
      </c>
      <c r="R22" s="12" t="s">
        <v>32</v>
      </c>
      <c r="S22" s="12" t="s">
        <v>33</v>
      </c>
      <c r="T22" s="12" t="s">
        <v>34</v>
      </c>
      <c r="U22" s="12" t="s">
        <v>35</v>
      </c>
      <c r="V22" s="12" t="s">
        <v>142</v>
      </c>
      <c r="W22" s="12">
        <v>2026</v>
      </c>
      <c r="X22" s="12">
        <v>4</v>
      </c>
      <c r="Y22" s="12">
        <v>16</v>
      </c>
      <c r="Z22" s="13" t="s">
        <v>25</v>
      </c>
      <c r="AA22" t="str">
        <f t="shared" si="0"/>
        <v>2026-04-16-QQQ Apr17'26 640 CALL</v>
      </c>
      <c r="AB22" s="25">
        <v>21</v>
      </c>
    </row>
    <row r="23" spans="1:28" x14ac:dyDescent="0.3">
      <c r="A23" s="14">
        <v>338</v>
      </c>
      <c r="B23" s="15">
        <v>46129</v>
      </c>
      <c r="C23" s="16" t="s">
        <v>143</v>
      </c>
      <c r="D23" s="15">
        <v>46129</v>
      </c>
      <c r="E23" s="15" t="s">
        <v>27</v>
      </c>
      <c r="F23" s="15" t="s">
        <v>28</v>
      </c>
      <c r="G23" s="16" t="s">
        <v>144</v>
      </c>
      <c r="H23" s="16" t="s">
        <v>145</v>
      </c>
      <c r="I23" s="16">
        <v>1</v>
      </c>
      <c r="J23" s="16">
        <v>1.07</v>
      </c>
      <c r="K23" s="16">
        <v>2.3199999999999998</v>
      </c>
      <c r="L23" s="16">
        <v>123.14</v>
      </c>
      <c r="M23" s="18">
        <v>1.1508</v>
      </c>
      <c r="N23" s="16">
        <v>1.86</v>
      </c>
      <c r="O23" s="19">
        <v>107</v>
      </c>
      <c r="P23" s="20">
        <v>3.53</v>
      </c>
      <c r="Q23" s="20" t="s">
        <v>103</v>
      </c>
      <c r="R23" s="20" t="s">
        <v>32</v>
      </c>
      <c r="S23" s="20" t="s">
        <v>33</v>
      </c>
      <c r="T23" s="20" t="s">
        <v>44</v>
      </c>
      <c r="U23" s="20" t="s">
        <v>79</v>
      </c>
      <c r="V23" s="20" t="s">
        <v>146</v>
      </c>
      <c r="W23" s="20">
        <v>2026</v>
      </c>
      <c r="X23" s="20">
        <v>4</v>
      </c>
      <c r="Y23" s="20">
        <v>16</v>
      </c>
      <c r="Z23" s="21" t="s">
        <v>25</v>
      </c>
      <c r="AA23" t="str">
        <f t="shared" si="0"/>
        <v>2026-04-17-MSTR Apr17'26 165 CALL</v>
      </c>
      <c r="AB23" s="26">
        <v>22</v>
      </c>
    </row>
    <row r="24" spans="1:28" x14ac:dyDescent="0.3">
      <c r="A24" s="7">
        <v>339</v>
      </c>
      <c r="B24" s="8">
        <v>46129</v>
      </c>
      <c r="C24" s="9" t="s">
        <v>147</v>
      </c>
      <c r="D24" s="8">
        <v>46129</v>
      </c>
      <c r="E24" s="8" t="s">
        <v>27</v>
      </c>
      <c r="F24" s="8" t="s">
        <v>28</v>
      </c>
      <c r="G24" s="9" t="s">
        <v>148</v>
      </c>
      <c r="H24" s="9" t="s">
        <v>149</v>
      </c>
      <c r="I24" s="9">
        <v>1</v>
      </c>
      <c r="J24" s="9">
        <v>5.64</v>
      </c>
      <c r="K24" s="9">
        <v>6.96</v>
      </c>
      <c r="L24" s="9">
        <v>130.13</v>
      </c>
      <c r="M24" s="10">
        <v>0.23069999999999999</v>
      </c>
      <c r="N24" s="9">
        <v>1.87</v>
      </c>
      <c r="O24" s="11">
        <v>564</v>
      </c>
      <c r="P24" s="12">
        <v>23.5</v>
      </c>
      <c r="Q24" s="12" t="s">
        <v>150</v>
      </c>
      <c r="R24" s="12" t="s">
        <v>32</v>
      </c>
      <c r="S24" s="12" t="s">
        <v>33</v>
      </c>
      <c r="T24" s="12" t="s">
        <v>34</v>
      </c>
      <c r="U24" s="12" t="s">
        <v>79</v>
      </c>
      <c r="V24" s="12" t="s">
        <v>151</v>
      </c>
      <c r="W24" s="12">
        <v>2026</v>
      </c>
      <c r="X24" s="12">
        <v>4</v>
      </c>
      <c r="Y24" s="12">
        <v>16</v>
      </c>
      <c r="Z24" s="13" t="s">
        <v>25</v>
      </c>
      <c r="AA24" t="str">
        <f t="shared" si="0"/>
        <v>2026-04-17-MSTR Apr24'26 170 CALL</v>
      </c>
      <c r="AB24" s="25">
        <v>23</v>
      </c>
    </row>
    <row r="25" spans="1:28" x14ac:dyDescent="0.3">
      <c r="A25" s="14">
        <v>340</v>
      </c>
      <c r="B25" s="15">
        <v>46118</v>
      </c>
      <c r="C25" s="16" t="s">
        <v>152</v>
      </c>
      <c r="D25" s="15">
        <v>46132</v>
      </c>
      <c r="E25" s="15" t="s">
        <v>38</v>
      </c>
      <c r="F25" s="15" t="s">
        <v>28</v>
      </c>
      <c r="G25" s="16" t="s">
        <v>153</v>
      </c>
      <c r="H25" s="16" t="s">
        <v>154</v>
      </c>
      <c r="I25" s="16">
        <v>100</v>
      </c>
      <c r="J25" s="16">
        <v>6.23</v>
      </c>
      <c r="K25" s="16">
        <v>6.91</v>
      </c>
      <c r="L25" s="16">
        <v>65.97</v>
      </c>
      <c r="M25" s="18">
        <v>0.10589999999999999</v>
      </c>
      <c r="N25" s="16">
        <v>2.0299999999999998</v>
      </c>
      <c r="O25" s="19">
        <v>623</v>
      </c>
      <c r="P25" s="20">
        <v>20159.400000000001</v>
      </c>
      <c r="Q25" s="20" t="s">
        <v>155</v>
      </c>
      <c r="R25" s="20" t="s">
        <v>43</v>
      </c>
      <c r="S25" s="20" t="s">
        <v>33</v>
      </c>
      <c r="T25" s="20" t="s">
        <v>44</v>
      </c>
      <c r="U25" s="20" t="s">
        <v>51</v>
      </c>
      <c r="V25" s="20" t="s">
        <v>156</v>
      </c>
      <c r="W25" s="20">
        <v>2026</v>
      </c>
      <c r="X25" s="20">
        <v>4</v>
      </c>
      <c r="Y25" s="20">
        <v>17</v>
      </c>
      <c r="Z25" s="21" t="s">
        <v>25</v>
      </c>
      <c r="AA25" t="str">
        <f t="shared" si="0"/>
        <v>2026-04-20-EDSA</v>
      </c>
      <c r="AB25" s="26">
        <v>24</v>
      </c>
    </row>
    <row r="26" spans="1:28" x14ac:dyDescent="0.3">
      <c r="A26" s="7">
        <v>341</v>
      </c>
      <c r="B26" s="8">
        <v>46128</v>
      </c>
      <c r="C26" s="9" t="s">
        <v>157</v>
      </c>
      <c r="D26" s="8">
        <v>46132</v>
      </c>
      <c r="E26" s="8" t="s">
        <v>27</v>
      </c>
      <c r="F26" s="8" t="s">
        <v>28</v>
      </c>
      <c r="G26" s="9" t="s">
        <v>158</v>
      </c>
      <c r="H26" s="9" t="s">
        <v>159</v>
      </c>
      <c r="I26" s="9">
        <v>1</v>
      </c>
      <c r="J26" s="9">
        <v>4.0999999999999996</v>
      </c>
      <c r="K26" s="9">
        <v>6.08</v>
      </c>
      <c r="L26" s="9">
        <v>196.09</v>
      </c>
      <c r="M26" s="10">
        <v>0.47939999999999999</v>
      </c>
      <c r="N26" s="9">
        <v>1.91</v>
      </c>
      <c r="O26" s="11">
        <v>409</v>
      </c>
      <c r="P26" s="12">
        <v>5757.43</v>
      </c>
      <c r="Q26" s="12" t="s">
        <v>160</v>
      </c>
      <c r="R26" s="12" t="s">
        <v>43</v>
      </c>
      <c r="S26" s="12" t="s">
        <v>33</v>
      </c>
      <c r="T26" s="12" t="s">
        <v>99</v>
      </c>
      <c r="U26" s="12" t="s">
        <v>51</v>
      </c>
      <c r="V26" s="12" t="s">
        <v>161</v>
      </c>
      <c r="W26" s="12">
        <v>2026</v>
      </c>
      <c r="X26" s="12">
        <v>4</v>
      </c>
      <c r="Y26" s="12">
        <v>17</v>
      </c>
      <c r="Z26" s="13" t="s">
        <v>25</v>
      </c>
      <c r="AA26" t="str">
        <f t="shared" si="0"/>
        <v>2026-04-20-ARM Apr24'26 170 CALL</v>
      </c>
      <c r="AB26" s="25">
        <v>25</v>
      </c>
    </row>
    <row r="27" spans="1:28" x14ac:dyDescent="0.3">
      <c r="A27" s="14">
        <v>342</v>
      </c>
      <c r="B27" s="15">
        <v>46132</v>
      </c>
      <c r="C27" s="16" t="s">
        <v>162</v>
      </c>
      <c r="D27" s="15">
        <v>46132</v>
      </c>
      <c r="E27" s="15" t="s">
        <v>27</v>
      </c>
      <c r="F27" s="15" t="s">
        <v>28</v>
      </c>
      <c r="G27" s="16" t="s">
        <v>163</v>
      </c>
      <c r="H27" s="16" t="s">
        <v>164</v>
      </c>
      <c r="I27" s="16">
        <v>1</v>
      </c>
      <c r="J27" s="16">
        <v>1.54</v>
      </c>
      <c r="K27" s="16">
        <v>1.58</v>
      </c>
      <c r="L27" s="16">
        <v>2.15</v>
      </c>
      <c r="M27" s="18">
        <v>1.4E-2</v>
      </c>
      <c r="N27" s="16">
        <v>1.85</v>
      </c>
      <c r="O27" s="19">
        <v>154</v>
      </c>
      <c r="P27" s="20">
        <v>22.52</v>
      </c>
      <c r="Q27" s="20" t="s">
        <v>165</v>
      </c>
      <c r="R27" s="20" t="s">
        <v>32</v>
      </c>
      <c r="S27" s="20" t="s">
        <v>33</v>
      </c>
      <c r="T27" s="20" t="s">
        <v>99</v>
      </c>
      <c r="U27" s="20" t="s">
        <v>51</v>
      </c>
      <c r="V27" s="20" t="s">
        <v>166</v>
      </c>
      <c r="W27" s="20">
        <v>2026</v>
      </c>
      <c r="X27" s="20">
        <v>4</v>
      </c>
      <c r="Y27" s="20">
        <v>17</v>
      </c>
      <c r="Z27" s="21" t="s">
        <v>25</v>
      </c>
      <c r="AA27" t="str">
        <f t="shared" si="0"/>
        <v>2026-04-20-ARM Apr24'26 185 CALL</v>
      </c>
      <c r="AB27" s="26">
        <v>26</v>
      </c>
    </row>
    <row r="28" spans="1:28" x14ac:dyDescent="0.3">
      <c r="A28" s="7">
        <v>343</v>
      </c>
      <c r="B28" s="8">
        <v>46133</v>
      </c>
      <c r="C28" s="9" t="s">
        <v>167</v>
      </c>
      <c r="D28" s="8">
        <v>46133</v>
      </c>
      <c r="E28" s="8" t="s">
        <v>27</v>
      </c>
      <c r="F28" s="8" t="s">
        <v>28</v>
      </c>
      <c r="G28" s="9" t="s">
        <v>168</v>
      </c>
      <c r="H28" s="9" t="s">
        <v>169</v>
      </c>
      <c r="I28" s="9">
        <v>1</v>
      </c>
      <c r="J28" s="9">
        <v>2.5499999999999998</v>
      </c>
      <c r="K28" s="9">
        <v>2.94</v>
      </c>
      <c r="L28" s="9">
        <v>37.17</v>
      </c>
      <c r="M28" s="10">
        <v>0.14630000000000001</v>
      </c>
      <c r="N28" s="9">
        <v>1.83</v>
      </c>
      <c r="O28" s="11">
        <v>254</v>
      </c>
      <c r="P28" s="12">
        <v>13.08</v>
      </c>
      <c r="Q28" s="12" t="s">
        <v>98</v>
      </c>
      <c r="R28" s="12" t="s">
        <v>32</v>
      </c>
      <c r="S28" s="12" t="s">
        <v>33</v>
      </c>
      <c r="T28" s="12" t="s">
        <v>99</v>
      </c>
      <c r="U28" s="12" t="s">
        <v>57</v>
      </c>
      <c r="V28" s="12" t="s">
        <v>170</v>
      </c>
      <c r="W28" s="12">
        <v>2026</v>
      </c>
      <c r="X28" s="12">
        <v>4</v>
      </c>
      <c r="Y28" s="12">
        <v>17</v>
      </c>
      <c r="Z28" s="13" t="s">
        <v>25</v>
      </c>
      <c r="AA28" t="str">
        <f t="shared" si="0"/>
        <v>2026-04-21-PLTR Apr24'26 150 CALL</v>
      </c>
      <c r="AB28" s="25">
        <v>27</v>
      </c>
    </row>
    <row r="29" spans="1:28" x14ac:dyDescent="0.3">
      <c r="A29" s="14">
        <v>344</v>
      </c>
      <c r="B29" s="15">
        <v>46133</v>
      </c>
      <c r="C29" s="16" t="s">
        <v>171</v>
      </c>
      <c r="D29" s="15">
        <v>46133</v>
      </c>
      <c r="E29" s="15" t="s">
        <v>27</v>
      </c>
      <c r="F29" s="15" t="s">
        <v>28</v>
      </c>
      <c r="G29" s="16" t="s">
        <v>172</v>
      </c>
      <c r="H29" s="16" t="s">
        <v>173</v>
      </c>
      <c r="I29" s="16">
        <v>1</v>
      </c>
      <c r="J29" s="16">
        <v>5.51</v>
      </c>
      <c r="K29" s="16">
        <v>5.8</v>
      </c>
      <c r="L29" s="16">
        <v>27.14</v>
      </c>
      <c r="M29" s="18">
        <v>4.9299999999999997E-2</v>
      </c>
      <c r="N29" s="16">
        <v>1.86</v>
      </c>
      <c r="O29" s="19">
        <v>551</v>
      </c>
      <c r="P29" s="20">
        <v>22.28</v>
      </c>
      <c r="Q29" s="20" t="s">
        <v>174</v>
      </c>
      <c r="R29" s="20" t="s">
        <v>32</v>
      </c>
      <c r="S29" s="20" t="s">
        <v>33</v>
      </c>
      <c r="T29" s="20" t="s">
        <v>99</v>
      </c>
      <c r="U29" s="20" t="s">
        <v>57</v>
      </c>
      <c r="V29" s="20" t="s">
        <v>175</v>
      </c>
      <c r="W29" s="20">
        <v>2026</v>
      </c>
      <c r="X29" s="20">
        <v>4</v>
      </c>
      <c r="Y29" s="20">
        <v>17</v>
      </c>
      <c r="Z29" s="21" t="s">
        <v>25</v>
      </c>
      <c r="AA29" t="str">
        <f t="shared" si="0"/>
        <v>2026-04-21-CRWD Apr24'26 460 CALL</v>
      </c>
      <c r="AB29" s="26">
        <v>28</v>
      </c>
    </row>
    <row r="30" spans="1:28" x14ac:dyDescent="0.3">
      <c r="A30" s="7">
        <v>345</v>
      </c>
      <c r="B30" s="8">
        <v>46133</v>
      </c>
      <c r="C30" s="9" t="s">
        <v>176</v>
      </c>
      <c r="D30" s="8">
        <v>46134</v>
      </c>
      <c r="E30" s="8" t="s">
        <v>27</v>
      </c>
      <c r="F30" s="8" t="s">
        <v>28</v>
      </c>
      <c r="G30" s="9" t="s">
        <v>177</v>
      </c>
      <c r="H30" s="9" t="s">
        <v>178</v>
      </c>
      <c r="I30" s="9">
        <v>1</v>
      </c>
      <c r="J30" s="9">
        <v>0.4</v>
      </c>
      <c r="K30" s="9">
        <v>0.36</v>
      </c>
      <c r="L30" s="9">
        <v>-6.1</v>
      </c>
      <c r="M30" s="10">
        <v>-0.1525</v>
      </c>
      <c r="N30" s="9">
        <v>2.1</v>
      </c>
      <c r="O30" s="11">
        <v>40</v>
      </c>
      <c r="P30" s="12">
        <v>1587.7</v>
      </c>
      <c r="Q30" s="12" t="s">
        <v>68</v>
      </c>
      <c r="R30" s="12" t="s">
        <v>43</v>
      </c>
      <c r="S30" s="12" t="s">
        <v>50</v>
      </c>
      <c r="T30" s="12" t="s">
        <v>44</v>
      </c>
      <c r="U30" s="12" t="s">
        <v>63</v>
      </c>
      <c r="V30" s="12" t="s">
        <v>179</v>
      </c>
      <c r="W30" s="12">
        <v>2026</v>
      </c>
      <c r="X30" s="12">
        <v>4</v>
      </c>
      <c r="Y30" s="12">
        <v>17</v>
      </c>
      <c r="Z30" s="13" t="s">
        <v>25</v>
      </c>
      <c r="AA30" t="str">
        <f t="shared" si="0"/>
        <v>2026-04-22-QS Apr24'26 7.5 CALL</v>
      </c>
      <c r="AB30" s="25">
        <v>29</v>
      </c>
    </row>
    <row r="31" spans="1:28" x14ac:dyDescent="0.3">
      <c r="A31" s="14">
        <v>346</v>
      </c>
      <c r="B31" s="15">
        <v>46134</v>
      </c>
      <c r="C31" s="16" t="s">
        <v>180</v>
      </c>
      <c r="D31" s="15">
        <v>46134</v>
      </c>
      <c r="E31" s="15" t="s">
        <v>27</v>
      </c>
      <c r="F31" s="15" t="s">
        <v>28</v>
      </c>
      <c r="G31" s="16" t="s">
        <v>181</v>
      </c>
      <c r="H31" s="16" t="s">
        <v>182</v>
      </c>
      <c r="I31" s="16">
        <v>1</v>
      </c>
      <c r="J31" s="16">
        <v>5.95</v>
      </c>
      <c r="K31" s="16">
        <v>6.17</v>
      </c>
      <c r="L31" s="16">
        <v>20.39</v>
      </c>
      <c r="M31" s="18">
        <v>3.4299999999999997E-2</v>
      </c>
      <c r="N31" s="16">
        <v>1.61</v>
      </c>
      <c r="O31" s="19">
        <v>595</v>
      </c>
      <c r="P31" s="20">
        <v>1.22</v>
      </c>
      <c r="Q31" s="20" t="s">
        <v>62</v>
      </c>
      <c r="R31" s="20" t="s">
        <v>32</v>
      </c>
      <c r="S31" s="20" t="s">
        <v>33</v>
      </c>
      <c r="T31" s="20" t="s">
        <v>99</v>
      </c>
      <c r="U31" s="20" t="s">
        <v>63</v>
      </c>
      <c r="V31" s="20" t="s">
        <v>183</v>
      </c>
      <c r="W31" s="20">
        <v>2026</v>
      </c>
      <c r="X31" s="20">
        <v>4</v>
      </c>
      <c r="Y31" s="20">
        <v>17</v>
      </c>
      <c r="Z31" s="21" t="s">
        <v>25</v>
      </c>
      <c r="AA31" t="str">
        <f t="shared" si="0"/>
        <v>2026-04-22-COIN Apr24'26 210 CALL</v>
      </c>
      <c r="AB31" s="26">
        <v>30</v>
      </c>
    </row>
    <row r="32" spans="1:28" x14ac:dyDescent="0.3">
      <c r="A32" s="7">
        <v>347</v>
      </c>
      <c r="B32" s="8">
        <v>46134</v>
      </c>
      <c r="C32" s="9" t="s">
        <v>184</v>
      </c>
      <c r="D32" s="8">
        <v>46134</v>
      </c>
      <c r="E32" s="8" t="s">
        <v>27</v>
      </c>
      <c r="F32" s="8" t="s">
        <v>28</v>
      </c>
      <c r="G32" s="9" t="s">
        <v>185</v>
      </c>
      <c r="H32" s="9" t="s">
        <v>186</v>
      </c>
      <c r="I32" s="9">
        <v>1</v>
      </c>
      <c r="J32" s="9">
        <v>3.3</v>
      </c>
      <c r="K32" s="9">
        <v>3.54</v>
      </c>
      <c r="L32" s="9">
        <v>21.68</v>
      </c>
      <c r="M32" s="10">
        <v>6.5699999999999995E-2</v>
      </c>
      <c r="N32" s="9">
        <v>2.3199999999999998</v>
      </c>
      <c r="O32" s="11">
        <v>330</v>
      </c>
      <c r="P32" s="12">
        <v>32.369999999999997</v>
      </c>
      <c r="Q32" s="12" t="s">
        <v>187</v>
      </c>
      <c r="R32" s="12" t="s">
        <v>32</v>
      </c>
      <c r="S32" s="12" t="s">
        <v>33</v>
      </c>
      <c r="T32" s="12" t="s">
        <v>99</v>
      </c>
      <c r="U32" s="12" t="s">
        <v>63</v>
      </c>
      <c r="V32" s="12" t="s">
        <v>188</v>
      </c>
      <c r="W32" s="12">
        <v>2026</v>
      </c>
      <c r="X32" s="12">
        <v>4</v>
      </c>
      <c r="Y32" s="12">
        <v>17</v>
      </c>
      <c r="Z32" s="13" t="s">
        <v>25</v>
      </c>
      <c r="AA32" t="str">
        <f t="shared" si="0"/>
        <v>2026-04-22-PLTR May01'26 155 CALL</v>
      </c>
      <c r="AB32" s="25">
        <v>31</v>
      </c>
    </row>
    <row r="33" spans="1:28" x14ac:dyDescent="0.3">
      <c r="A33" s="14">
        <v>348</v>
      </c>
      <c r="B33" s="15">
        <v>46134</v>
      </c>
      <c r="C33" s="16" t="s">
        <v>189</v>
      </c>
      <c r="D33" s="15">
        <v>46134</v>
      </c>
      <c r="E33" s="15" t="s">
        <v>27</v>
      </c>
      <c r="F33" s="15" t="s">
        <v>28</v>
      </c>
      <c r="G33" s="16" t="s">
        <v>190</v>
      </c>
      <c r="H33" s="16" t="s">
        <v>191</v>
      </c>
      <c r="I33" s="16">
        <v>1</v>
      </c>
      <c r="J33" s="16">
        <v>0.45</v>
      </c>
      <c r="K33" s="16">
        <v>0.15</v>
      </c>
      <c r="L33" s="16">
        <v>-31.91</v>
      </c>
      <c r="M33" s="18">
        <v>-0.70909999999999995</v>
      </c>
      <c r="N33" s="16">
        <v>1.91</v>
      </c>
      <c r="O33" s="19">
        <v>45</v>
      </c>
      <c r="P33" s="20">
        <v>110.68</v>
      </c>
      <c r="Q33" s="20" t="s">
        <v>192</v>
      </c>
      <c r="R33" s="20" t="s">
        <v>32</v>
      </c>
      <c r="S33" s="20" t="s">
        <v>50</v>
      </c>
      <c r="T33" s="20" t="s">
        <v>44</v>
      </c>
      <c r="U33" s="20" t="s">
        <v>63</v>
      </c>
      <c r="V33" s="20" t="s">
        <v>193</v>
      </c>
      <c r="W33" s="20">
        <v>2026</v>
      </c>
      <c r="X33" s="20">
        <v>4</v>
      </c>
      <c r="Y33" s="20">
        <v>17</v>
      </c>
      <c r="Z33" s="21" t="s">
        <v>25</v>
      </c>
      <c r="AA33" t="str">
        <f t="shared" si="0"/>
        <v>2026-04-22-QQQ Apr22'26 655 CALL</v>
      </c>
      <c r="AB33" s="26">
        <v>32</v>
      </c>
    </row>
    <row r="34" spans="1:28" x14ac:dyDescent="0.3">
      <c r="A34" s="7">
        <v>349</v>
      </c>
      <c r="B34" s="8">
        <v>46113</v>
      </c>
      <c r="C34" s="9" t="s">
        <v>194</v>
      </c>
      <c r="D34" s="8">
        <v>46134</v>
      </c>
      <c r="E34" s="8" t="s">
        <v>38</v>
      </c>
      <c r="F34" s="8" t="s">
        <v>28</v>
      </c>
      <c r="G34" s="9" t="s">
        <v>195</v>
      </c>
      <c r="H34" s="9" t="s">
        <v>196</v>
      </c>
      <c r="I34" s="9">
        <v>100</v>
      </c>
      <c r="J34" s="9">
        <v>6.7</v>
      </c>
      <c r="K34" s="9">
        <v>7.2</v>
      </c>
      <c r="L34" s="9">
        <v>29.47</v>
      </c>
      <c r="M34" s="10">
        <v>4.3985074626865669E-2</v>
      </c>
      <c r="N34" s="9">
        <v>2.0299999999999998</v>
      </c>
      <c r="O34" s="11">
        <v>720</v>
      </c>
      <c r="P34" s="12">
        <v>1476.33</v>
      </c>
      <c r="Q34" s="12" t="s">
        <v>197</v>
      </c>
      <c r="R34" s="12" t="s">
        <v>43</v>
      </c>
      <c r="S34" s="12" t="s">
        <v>33</v>
      </c>
      <c r="T34" s="12" t="s">
        <v>44</v>
      </c>
      <c r="U34" s="12" t="s">
        <v>63</v>
      </c>
      <c r="V34" s="12" t="s">
        <v>198</v>
      </c>
      <c r="W34" s="12">
        <v>2026</v>
      </c>
      <c r="X34" s="12">
        <v>4</v>
      </c>
      <c r="Y34" s="12">
        <v>17</v>
      </c>
      <c r="Z34" s="13" t="s">
        <v>25</v>
      </c>
      <c r="AA34" t="str">
        <f t="shared" si="0"/>
        <v>2026-04-22-QS</v>
      </c>
      <c r="AB34" s="25">
        <v>33</v>
      </c>
    </row>
    <row r="35" spans="1:28" x14ac:dyDescent="0.3">
      <c r="A35" s="14">
        <v>350</v>
      </c>
      <c r="B35" s="15">
        <v>46135</v>
      </c>
      <c r="C35" s="16" t="s">
        <v>199</v>
      </c>
      <c r="D35" s="15">
        <v>46135</v>
      </c>
      <c r="E35" s="15" t="s">
        <v>27</v>
      </c>
      <c r="F35" s="15" t="s">
        <v>28</v>
      </c>
      <c r="G35" s="16" t="s">
        <v>200</v>
      </c>
      <c r="H35" s="16" t="s">
        <v>201</v>
      </c>
      <c r="I35" s="16">
        <v>2</v>
      </c>
      <c r="J35" s="16">
        <v>2.89</v>
      </c>
      <c r="K35" s="16">
        <v>4.4800000000000004</v>
      </c>
      <c r="L35" s="16">
        <v>314.77999999999997</v>
      </c>
      <c r="M35" s="18">
        <v>0.54459999999999997</v>
      </c>
      <c r="N35" s="16">
        <v>3.22</v>
      </c>
      <c r="O35" s="19">
        <v>578</v>
      </c>
      <c r="P35" s="20">
        <v>97.38</v>
      </c>
      <c r="Q35" s="20" t="s">
        <v>202</v>
      </c>
      <c r="R35" s="20" t="s">
        <v>32</v>
      </c>
      <c r="S35" s="20" t="s">
        <v>33</v>
      </c>
      <c r="T35" s="20" t="s">
        <v>99</v>
      </c>
      <c r="U35" s="20" t="s">
        <v>35</v>
      </c>
      <c r="V35" s="20" t="s">
        <v>203</v>
      </c>
      <c r="W35" s="20">
        <v>2026</v>
      </c>
      <c r="X35" s="20">
        <v>4</v>
      </c>
      <c r="Y35" s="20">
        <v>17</v>
      </c>
      <c r="Z35" s="21" t="s">
        <v>25</v>
      </c>
      <c r="AA35" t="str">
        <f t="shared" si="0"/>
        <v>2026-04-23-IREN May01'26 50 CALL</v>
      </c>
      <c r="AB35" s="26">
        <v>34</v>
      </c>
    </row>
    <row r="36" spans="1:28" x14ac:dyDescent="0.3">
      <c r="A36" s="7">
        <v>351</v>
      </c>
      <c r="B36" s="8">
        <v>46135</v>
      </c>
      <c r="C36" s="9" t="s">
        <v>199</v>
      </c>
      <c r="D36" s="8">
        <v>46135</v>
      </c>
      <c r="E36" s="8" t="s">
        <v>27</v>
      </c>
      <c r="F36" s="8" t="s">
        <v>28</v>
      </c>
      <c r="G36" s="9" t="s">
        <v>204</v>
      </c>
      <c r="H36" s="9" t="s">
        <v>205</v>
      </c>
      <c r="I36" s="9">
        <v>1</v>
      </c>
      <c r="J36" s="9">
        <v>4.2300000000000004</v>
      </c>
      <c r="K36" s="9">
        <v>4.9000000000000004</v>
      </c>
      <c r="L36" s="9">
        <v>65.42</v>
      </c>
      <c r="M36" s="10">
        <v>0.1547</v>
      </c>
      <c r="N36" s="9">
        <v>1.58</v>
      </c>
      <c r="O36" s="11">
        <v>423</v>
      </c>
      <c r="P36" s="12">
        <v>53.02</v>
      </c>
      <c r="Q36" s="12" t="s">
        <v>206</v>
      </c>
      <c r="R36" s="12" t="s">
        <v>32</v>
      </c>
      <c r="S36" s="12" t="s">
        <v>33</v>
      </c>
      <c r="T36" s="12" t="s">
        <v>44</v>
      </c>
      <c r="U36" s="12" t="s">
        <v>35</v>
      </c>
      <c r="V36" s="12" t="s">
        <v>207</v>
      </c>
      <c r="W36" s="12">
        <v>2026</v>
      </c>
      <c r="X36" s="12">
        <v>4</v>
      </c>
      <c r="Y36" s="12">
        <v>17</v>
      </c>
      <c r="Z36" s="13" t="s">
        <v>25</v>
      </c>
      <c r="AA36" t="str">
        <f t="shared" si="0"/>
        <v>2026-04-23-IREN May01'26 50 CALL</v>
      </c>
      <c r="AB36" s="25">
        <v>35</v>
      </c>
    </row>
    <row r="37" spans="1:28" x14ac:dyDescent="0.3">
      <c r="A37" s="14">
        <v>352</v>
      </c>
      <c r="B37" s="15">
        <v>46135</v>
      </c>
      <c r="C37" s="16" t="s">
        <v>208</v>
      </c>
      <c r="D37" s="15">
        <v>46135</v>
      </c>
      <c r="E37" s="15" t="s">
        <v>27</v>
      </c>
      <c r="F37" s="15" t="s">
        <v>28</v>
      </c>
      <c r="G37" s="16" t="s">
        <v>209</v>
      </c>
      <c r="H37" s="16" t="s">
        <v>210</v>
      </c>
      <c r="I37" s="16">
        <v>1</v>
      </c>
      <c r="J37" s="16">
        <v>0.59</v>
      </c>
      <c r="K37" s="16">
        <v>0.2</v>
      </c>
      <c r="L37" s="16">
        <v>-41.58</v>
      </c>
      <c r="M37" s="18">
        <v>-0.70469999999999999</v>
      </c>
      <c r="N37" s="16">
        <v>2.58</v>
      </c>
      <c r="O37" s="19">
        <v>59</v>
      </c>
      <c r="P37" s="20">
        <v>5.98</v>
      </c>
      <c r="Q37" s="20" t="s">
        <v>211</v>
      </c>
      <c r="R37" s="20" t="s">
        <v>32</v>
      </c>
      <c r="S37" s="20" t="s">
        <v>50</v>
      </c>
      <c r="T37" s="20" t="s">
        <v>44</v>
      </c>
      <c r="U37" s="20" t="s">
        <v>35</v>
      </c>
      <c r="V37" s="20" t="s">
        <v>212</v>
      </c>
      <c r="W37" s="20">
        <v>2026</v>
      </c>
      <c r="X37" s="20">
        <v>4</v>
      </c>
      <c r="Y37" s="20">
        <v>17</v>
      </c>
      <c r="Z37" s="21" t="s">
        <v>25</v>
      </c>
      <c r="AA37" t="str">
        <f t="shared" si="0"/>
        <v>2026-04-23-QQQ Apr23'26 643 PUT</v>
      </c>
      <c r="AB37" s="26">
        <v>36</v>
      </c>
    </row>
    <row r="38" spans="1:28" x14ac:dyDescent="0.3">
      <c r="A38" s="7">
        <v>353</v>
      </c>
      <c r="B38" s="8">
        <v>46118</v>
      </c>
      <c r="C38" s="9" t="s">
        <v>213</v>
      </c>
      <c r="D38" s="8">
        <v>46136</v>
      </c>
      <c r="E38" s="8" t="s">
        <v>38</v>
      </c>
      <c r="F38" s="8" t="s">
        <v>28</v>
      </c>
      <c r="G38" s="9" t="s">
        <v>214</v>
      </c>
      <c r="H38" s="9" t="s">
        <v>215</v>
      </c>
      <c r="I38" s="9">
        <v>22</v>
      </c>
      <c r="J38" s="9">
        <v>88.47</v>
      </c>
      <c r="K38" s="9">
        <v>88.4</v>
      </c>
      <c r="L38" s="9">
        <v>-3.58</v>
      </c>
      <c r="M38" s="10">
        <v>-1.8E-3</v>
      </c>
      <c r="N38" s="9">
        <v>2.04</v>
      </c>
      <c r="O38" s="11">
        <v>1946</v>
      </c>
      <c r="P38" s="12">
        <v>26081.65</v>
      </c>
      <c r="Q38" s="12" t="s">
        <v>216</v>
      </c>
      <c r="R38" s="12" t="s">
        <v>43</v>
      </c>
      <c r="S38" s="12" t="s">
        <v>50</v>
      </c>
      <c r="T38" s="12" t="s">
        <v>44</v>
      </c>
      <c r="U38" s="12" t="s">
        <v>79</v>
      </c>
      <c r="V38" s="12" t="s">
        <v>217</v>
      </c>
      <c r="W38" s="12">
        <v>2026</v>
      </c>
      <c r="X38" s="12">
        <v>4</v>
      </c>
      <c r="Y38" s="12">
        <v>17</v>
      </c>
      <c r="Z38" s="13" t="s">
        <v>25</v>
      </c>
      <c r="AA38" t="str">
        <f t="shared" si="0"/>
        <v>2026-04-24-OGS</v>
      </c>
      <c r="AB38" s="25">
        <v>37</v>
      </c>
    </row>
    <row r="39" spans="1:28" x14ac:dyDescent="0.3">
      <c r="A39" s="14">
        <v>354</v>
      </c>
      <c r="B39" s="15">
        <v>46133</v>
      </c>
      <c r="C39" s="16" t="s">
        <v>218</v>
      </c>
      <c r="D39" s="15">
        <v>46136</v>
      </c>
      <c r="E39" s="15" t="s">
        <v>38</v>
      </c>
      <c r="F39" s="15" t="s">
        <v>28</v>
      </c>
      <c r="G39" s="16" t="s">
        <v>219</v>
      </c>
      <c r="H39" s="16" t="s">
        <v>220</v>
      </c>
      <c r="I39" s="16">
        <v>10</v>
      </c>
      <c r="J39" s="16">
        <v>72.89</v>
      </c>
      <c r="K39" s="16">
        <v>77.150000000000006</v>
      </c>
      <c r="L39" s="16">
        <v>40.58</v>
      </c>
      <c r="M39" s="18">
        <v>5.57E-2</v>
      </c>
      <c r="N39" s="16">
        <v>2.02</v>
      </c>
      <c r="O39" s="19">
        <v>728</v>
      </c>
      <c r="P39" s="20">
        <v>4259.2299999999996</v>
      </c>
      <c r="Q39" s="20" t="s">
        <v>221</v>
      </c>
      <c r="R39" s="20" t="s">
        <v>43</v>
      </c>
      <c r="S39" s="20" t="s">
        <v>33</v>
      </c>
      <c r="T39" s="20" t="s">
        <v>44</v>
      </c>
      <c r="U39" s="20" t="s">
        <v>79</v>
      </c>
      <c r="V39" s="20" t="s">
        <v>222</v>
      </c>
      <c r="W39" s="20">
        <v>2026</v>
      </c>
      <c r="X39" s="20">
        <v>4</v>
      </c>
      <c r="Y39" s="20">
        <v>17</v>
      </c>
      <c r="Z39" s="21" t="s">
        <v>25</v>
      </c>
      <c r="AA39" t="str">
        <f t="shared" si="0"/>
        <v>2026-04-24-ATLC</v>
      </c>
      <c r="AB39" s="26">
        <v>38</v>
      </c>
    </row>
    <row r="40" spans="1:28" x14ac:dyDescent="0.3">
      <c r="A40" s="7">
        <v>355</v>
      </c>
      <c r="B40" s="8">
        <v>46135</v>
      </c>
      <c r="C40" s="9" t="s">
        <v>223</v>
      </c>
      <c r="D40" s="8">
        <v>46136</v>
      </c>
      <c r="E40" s="8" t="s">
        <v>27</v>
      </c>
      <c r="F40" s="8" t="s">
        <v>28</v>
      </c>
      <c r="G40" s="9" t="s">
        <v>224</v>
      </c>
      <c r="H40" s="9" t="s">
        <v>225</v>
      </c>
      <c r="I40" s="9">
        <v>1</v>
      </c>
      <c r="J40" s="9">
        <v>0.43</v>
      </c>
      <c r="K40" s="9">
        <v>0.9</v>
      </c>
      <c r="L40" s="9">
        <v>44.9</v>
      </c>
      <c r="M40" s="10">
        <v>1.0442</v>
      </c>
      <c r="N40" s="9">
        <v>2.1</v>
      </c>
      <c r="O40" s="11">
        <v>43</v>
      </c>
      <c r="P40" s="12">
        <v>1238.1199999999999</v>
      </c>
      <c r="Q40" s="12" t="s">
        <v>113</v>
      </c>
      <c r="R40" s="12" t="s">
        <v>43</v>
      </c>
      <c r="S40" s="12" t="s">
        <v>33</v>
      </c>
      <c r="T40" s="12" t="s">
        <v>44</v>
      </c>
      <c r="U40" s="12" t="s">
        <v>79</v>
      </c>
      <c r="V40" s="12" t="s">
        <v>226</v>
      </c>
      <c r="W40" s="12">
        <v>2026</v>
      </c>
      <c r="X40" s="12">
        <v>4</v>
      </c>
      <c r="Y40" s="12">
        <v>17</v>
      </c>
      <c r="Z40" s="13" t="s">
        <v>25</v>
      </c>
      <c r="AA40" t="str">
        <f t="shared" si="0"/>
        <v>2026-04-24-QS May01'26 7.5 CALL</v>
      </c>
      <c r="AB40" s="25">
        <v>39</v>
      </c>
    </row>
    <row r="41" spans="1:28" x14ac:dyDescent="0.3">
      <c r="A41" s="14">
        <v>356</v>
      </c>
      <c r="B41" s="15">
        <v>46135</v>
      </c>
      <c r="C41" s="16" t="s">
        <v>227</v>
      </c>
      <c r="D41" s="15">
        <v>46136</v>
      </c>
      <c r="E41" s="15" t="s">
        <v>27</v>
      </c>
      <c r="F41" s="15" t="s">
        <v>28</v>
      </c>
      <c r="G41" s="16" t="s">
        <v>228</v>
      </c>
      <c r="H41" s="16" t="s">
        <v>229</v>
      </c>
      <c r="I41" s="16">
        <v>2</v>
      </c>
      <c r="J41" s="16">
        <v>1.74</v>
      </c>
      <c r="K41" s="16">
        <v>1.71</v>
      </c>
      <c r="L41" s="16">
        <v>-8.51</v>
      </c>
      <c r="M41" s="18">
        <v>-2.4500000000000001E-2</v>
      </c>
      <c r="N41" s="16">
        <v>2.5099999999999998</v>
      </c>
      <c r="O41" s="19">
        <v>348</v>
      </c>
      <c r="P41" s="20">
        <v>1298.08</v>
      </c>
      <c r="Q41" s="20" t="s">
        <v>230</v>
      </c>
      <c r="R41" s="20" t="s">
        <v>43</v>
      </c>
      <c r="S41" s="20" t="s">
        <v>50</v>
      </c>
      <c r="T41" s="20" t="s">
        <v>44</v>
      </c>
      <c r="U41" s="20" t="s">
        <v>79</v>
      </c>
      <c r="V41" s="20" t="s">
        <v>231</v>
      </c>
      <c r="W41" s="20">
        <v>2026</v>
      </c>
      <c r="X41" s="20">
        <v>4</v>
      </c>
      <c r="Y41" s="20">
        <v>17</v>
      </c>
      <c r="Z41" s="21" t="s">
        <v>25</v>
      </c>
      <c r="AA41" t="str">
        <f t="shared" si="0"/>
        <v>2026-04-24-IREN May01'26 55 CALL</v>
      </c>
      <c r="AB41" s="26">
        <v>40</v>
      </c>
    </row>
    <row r="42" spans="1:28" x14ac:dyDescent="0.3">
      <c r="A42" s="7">
        <v>357</v>
      </c>
      <c r="B42" s="8">
        <v>46136</v>
      </c>
      <c r="C42" s="9" t="s">
        <v>232</v>
      </c>
      <c r="D42" s="8">
        <v>46136</v>
      </c>
      <c r="E42" s="8" t="s">
        <v>27</v>
      </c>
      <c r="F42" s="8" t="s">
        <v>28</v>
      </c>
      <c r="G42" s="9" t="s">
        <v>233</v>
      </c>
      <c r="H42" s="9" t="s">
        <v>234</v>
      </c>
      <c r="I42" s="9">
        <v>1</v>
      </c>
      <c r="J42" s="9">
        <v>3.31</v>
      </c>
      <c r="K42" s="9">
        <v>4.29</v>
      </c>
      <c r="L42" s="9">
        <v>96.39</v>
      </c>
      <c r="M42" s="10">
        <v>0.29120000000000001</v>
      </c>
      <c r="N42" s="9">
        <v>1.61</v>
      </c>
      <c r="O42" s="11">
        <v>331</v>
      </c>
      <c r="P42" s="12">
        <v>59.22</v>
      </c>
      <c r="Q42" s="12" t="s">
        <v>235</v>
      </c>
      <c r="R42" s="12" t="s">
        <v>32</v>
      </c>
      <c r="S42" s="12" t="s">
        <v>33</v>
      </c>
      <c r="T42" s="12" t="s">
        <v>99</v>
      </c>
      <c r="U42" s="12" t="s">
        <v>79</v>
      </c>
      <c r="V42" s="12" t="s">
        <v>236</v>
      </c>
      <c r="W42" s="12">
        <v>2026</v>
      </c>
      <c r="X42" s="12">
        <v>4</v>
      </c>
      <c r="Y42" s="12">
        <v>17</v>
      </c>
      <c r="Z42" s="13" t="s">
        <v>25</v>
      </c>
      <c r="AA42" t="str">
        <f t="shared" si="0"/>
        <v>2026-04-24-NVDA May01'26 205 CALL</v>
      </c>
      <c r="AB42" s="25">
        <v>41</v>
      </c>
    </row>
    <row r="43" spans="1:28" x14ac:dyDescent="0.3">
      <c r="A43" s="14">
        <v>358</v>
      </c>
      <c r="B43" s="15">
        <v>46136</v>
      </c>
      <c r="C43" s="16" t="s">
        <v>237</v>
      </c>
      <c r="D43" s="15">
        <v>46136</v>
      </c>
      <c r="E43" s="15" t="s">
        <v>27</v>
      </c>
      <c r="F43" s="15" t="s">
        <v>28</v>
      </c>
      <c r="G43" s="16" t="s">
        <v>238</v>
      </c>
      <c r="H43" s="16" t="s">
        <v>239</v>
      </c>
      <c r="I43" s="16">
        <v>1</v>
      </c>
      <c r="J43" s="16">
        <v>4.22</v>
      </c>
      <c r="K43" s="16">
        <v>5</v>
      </c>
      <c r="L43" s="16">
        <v>76.14</v>
      </c>
      <c r="M43" s="18">
        <v>0.1804</v>
      </c>
      <c r="N43" s="16">
        <v>1.86</v>
      </c>
      <c r="O43" s="19">
        <v>422</v>
      </c>
      <c r="P43" s="20">
        <v>91.57</v>
      </c>
      <c r="Q43" s="20" t="s">
        <v>240</v>
      </c>
      <c r="R43" s="20" t="s">
        <v>32</v>
      </c>
      <c r="S43" s="20" t="s">
        <v>33</v>
      </c>
      <c r="T43" s="20" t="s">
        <v>99</v>
      </c>
      <c r="U43" s="20" t="s">
        <v>79</v>
      </c>
      <c r="V43" s="20" t="s">
        <v>241</v>
      </c>
      <c r="W43" s="20">
        <v>2026</v>
      </c>
      <c r="X43" s="20">
        <v>4</v>
      </c>
      <c r="Y43" s="20">
        <v>17</v>
      </c>
      <c r="Z43" s="21" t="s">
        <v>25</v>
      </c>
      <c r="AA43" t="str">
        <f t="shared" si="0"/>
        <v>2026-04-24-NVDA May01'26 210 CALL</v>
      </c>
      <c r="AB43" s="26">
        <v>42</v>
      </c>
    </row>
    <row r="44" spans="1:28" x14ac:dyDescent="0.3">
      <c r="A44" s="7">
        <v>359</v>
      </c>
      <c r="B44" s="8">
        <v>46136</v>
      </c>
      <c r="C44" s="9" t="s">
        <v>242</v>
      </c>
      <c r="D44" s="8">
        <v>46136</v>
      </c>
      <c r="E44" s="8" t="s">
        <v>27</v>
      </c>
      <c r="F44" s="8" t="s">
        <v>28</v>
      </c>
      <c r="G44" s="9" t="s">
        <v>243</v>
      </c>
      <c r="H44" s="9" t="s">
        <v>244</v>
      </c>
      <c r="I44" s="9">
        <v>1</v>
      </c>
      <c r="J44" s="9">
        <v>0.55000000000000004</v>
      </c>
      <c r="K44" s="9">
        <v>1.06</v>
      </c>
      <c r="L44" s="9">
        <v>49.18</v>
      </c>
      <c r="M44" s="10">
        <v>0.89419999999999999</v>
      </c>
      <c r="N44" s="9">
        <v>1.82</v>
      </c>
      <c r="O44" s="11">
        <v>55</v>
      </c>
      <c r="P44" s="12">
        <v>7.2</v>
      </c>
      <c r="Q44" s="12" t="s">
        <v>245</v>
      </c>
      <c r="R44" s="12" t="s">
        <v>32</v>
      </c>
      <c r="S44" s="12" t="s">
        <v>33</v>
      </c>
      <c r="T44" s="12" t="s">
        <v>44</v>
      </c>
      <c r="U44" s="12" t="s">
        <v>79</v>
      </c>
      <c r="V44" s="12" t="s">
        <v>246</v>
      </c>
      <c r="W44" s="12">
        <v>2026</v>
      </c>
      <c r="X44" s="12">
        <v>4</v>
      </c>
      <c r="Y44" s="12">
        <v>17</v>
      </c>
      <c r="Z44" s="13" t="s">
        <v>25</v>
      </c>
      <c r="AA44" t="str">
        <f t="shared" si="0"/>
        <v>2026-04-24-META Apr24'26 680 CALL</v>
      </c>
      <c r="AB44" s="25">
        <v>43</v>
      </c>
    </row>
    <row r="45" spans="1:28" x14ac:dyDescent="0.3">
      <c r="A45" s="14">
        <v>360</v>
      </c>
      <c r="B45" s="15">
        <v>46136</v>
      </c>
      <c r="C45" s="16" t="s">
        <v>247</v>
      </c>
      <c r="D45" s="15">
        <v>46136</v>
      </c>
      <c r="E45" s="15" t="s">
        <v>27</v>
      </c>
      <c r="F45" s="15" t="s">
        <v>28</v>
      </c>
      <c r="G45" s="16" t="s">
        <v>248</v>
      </c>
      <c r="H45" s="16" t="s">
        <v>249</v>
      </c>
      <c r="I45" s="16">
        <v>1</v>
      </c>
      <c r="J45" s="16">
        <v>3.75</v>
      </c>
      <c r="K45" s="16">
        <v>4</v>
      </c>
      <c r="L45" s="16">
        <v>23.39</v>
      </c>
      <c r="M45" s="18">
        <v>6.2399999999999997E-2</v>
      </c>
      <c r="N45" s="16">
        <v>1.61</v>
      </c>
      <c r="O45" s="19">
        <v>375</v>
      </c>
      <c r="P45" s="20">
        <v>124.27</v>
      </c>
      <c r="Q45" s="20" t="s">
        <v>250</v>
      </c>
      <c r="R45" s="20" t="s">
        <v>32</v>
      </c>
      <c r="S45" s="20" t="s">
        <v>33</v>
      </c>
      <c r="T45" s="20" t="s">
        <v>44</v>
      </c>
      <c r="U45" s="20" t="s">
        <v>79</v>
      </c>
      <c r="V45" s="20" t="s">
        <v>251</v>
      </c>
      <c r="W45" s="20">
        <v>2026</v>
      </c>
      <c r="X45" s="20">
        <v>4</v>
      </c>
      <c r="Y45" s="20">
        <v>17</v>
      </c>
      <c r="Z45" s="21" t="s">
        <v>25</v>
      </c>
      <c r="AA45" t="str">
        <f t="shared" si="0"/>
        <v>2026-04-24-IREN May08'26 55 CALL</v>
      </c>
      <c r="AB45" s="26">
        <v>44</v>
      </c>
    </row>
    <row r="46" spans="1:28" x14ac:dyDescent="0.3">
      <c r="A46" s="7">
        <v>361</v>
      </c>
      <c r="B46" s="8">
        <v>46135</v>
      </c>
      <c r="C46" s="9" t="s">
        <v>194</v>
      </c>
      <c r="D46" s="8">
        <v>46136</v>
      </c>
      <c r="E46" s="8" t="s">
        <v>38</v>
      </c>
      <c r="F46" s="8" t="s">
        <v>28</v>
      </c>
      <c r="G46" s="9" t="s">
        <v>243</v>
      </c>
      <c r="H46" s="9" t="s">
        <v>225</v>
      </c>
      <c r="I46" s="9">
        <v>200</v>
      </c>
      <c r="J46" s="9">
        <v>7.41</v>
      </c>
      <c r="K46" s="9">
        <v>8.2100000000000009</v>
      </c>
      <c r="L46" s="9">
        <v>160</v>
      </c>
      <c r="M46" s="10">
        <v>0.10796221322537125</v>
      </c>
      <c r="N46" s="9">
        <v>4</v>
      </c>
      <c r="O46" s="11">
        <v>1482</v>
      </c>
      <c r="P46" s="12">
        <v>10</v>
      </c>
      <c r="Q46" s="12" t="s">
        <v>303</v>
      </c>
      <c r="R46" s="12" t="s">
        <v>32</v>
      </c>
      <c r="S46" s="12" t="s">
        <v>33</v>
      </c>
      <c r="T46" s="12" t="s">
        <v>44</v>
      </c>
      <c r="U46" s="12" t="s">
        <v>79</v>
      </c>
      <c r="V46" s="12" t="s">
        <v>252</v>
      </c>
      <c r="W46" s="12">
        <v>2026</v>
      </c>
      <c r="X46" s="12">
        <v>4</v>
      </c>
      <c r="Y46" s="12">
        <v>17</v>
      </c>
      <c r="Z46" s="13" t="s">
        <v>25</v>
      </c>
      <c r="AA46" t="str">
        <f t="shared" si="0"/>
        <v>2026-04-24-QS</v>
      </c>
      <c r="AB46" s="25">
        <v>45</v>
      </c>
    </row>
    <row r="47" spans="1:28" x14ac:dyDescent="0.3">
      <c r="A47" s="14">
        <v>362</v>
      </c>
      <c r="B47" s="15">
        <v>46136</v>
      </c>
      <c r="C47" s="16" t="s">
        <v>253</v>
      </c>
      <c r="D47" s="15">
        <v>46136</v>
      </c>
      <c r="E47" s="15" t="s">
        <v>27</v>
      </c>
      <c r="F47" s="15" t="s">
        <v>28</v>
      </c>
      <c r="G47" s="16" t="s">
        <v>254</v>
      </c>
      <c r="H47" s="16" t="s">
        <v>77</v>
      </c>
      <c r="I47" s="16">
        <v>2</v>
      </c>
      <c r="J47" s="16">
        <v>0.06</v>
      </c>
      <c r="K47" s="16">
        <v>0</v>
      </c>
      <c r="L47" s="16">
        <v>-13.08</v>
      </c>
      <c r="M47" s="18">
        <v>-1.0900000000000001</v>
      </c>
      <c r="N47" s="16">
        <v>1.08</v>
      </c>
      <c r="O47" s="19">
        <v>12</v>
      </c>
      <c r="P47" s="20">
        <v>366.03</v>
      </c>
      <c r="Q47" s="20" t="s">
        <v>255</v>
      </c>
      <c r="R47" s="20" t="s">
        <v>32</v>
      </c>
      <c r="S47" s="20" t="s">
        <v>50</v>
      </c>
      <c r="T47" s="20" t="s">
        <v>44</v>
      </c>
      <c r="U47" s="20" t="s">
        <v>79</v>
      </c>
      <c r="V47" s="20" t="s">
        <v>256</v>
      </c>
      <c r="W47" s="20">
        <v>2026</v>
      </c>
      <c r="X47" s="20">
        <v>4</v>
      </c>
      <c r="Y47" s="20">
        <v>17</v>
      </c>
      <c r="Z47" s="21" t="s">
        <v>25</v>
      </c>
      <c r="AA47" t="str">
        <f t="shared" si="0"/>
        <v>2026-04-24-PYPL Apr24'26 51 CALL</v>
      </c>
      <c r="AB47" s="26">
        <v>46</v>
      </c>
    </row>
    <row r="48" spans="1:28" x14ac:dyDescent="0.3">
      <c r="A48" s="7">
        <v>363</v>
      </c>
      <c r="B48" s="8">
        <v>46136</v>
      </c>
      <c r="C48" s="9" t="s">
        <v>257</v>
      </c>
      <c r="D48" s="8">
        <v>46136</v>
      </c>
      <c r="E48" s="8" t="s">
        <v>27</v>
      </c>
      <c r="F48" s="8" t="s">
        <v>28</v>
      </c>
      <c r="G48" s="9" t="s">
        <v>258</v>
      </c>
      <c r="H48" s="9" t="s">
        <v>77</v>
      </c>
      <c r="I48" s="9">
        <v>1</v>
      </c>
      <c r="J48" s="9">
        <v>0.35</v>
      </c>
      <c r="K48" s="9">
        <v>0</v>
      </c>
      <c r="L48" s="9">
        <v>-35.799999999999997</v>
      </c>
      <c r="M48" s="10">
        <v>-1.0228999999999999</v>
      </c>
      <c r="N48" s="9">
        <v>0.8</v>
      </c>
      <c r="O48" s="11">
        <v>35</v>
      </c>
      <c r="P48" s="12">
        <v>237.55</v>
      </c>
      <c r="Q48" s="12" t="s">
        <v>259</v>
      </c>
      <c r="R48" s="12" t="s">
        <v>32</v>
      </c>
      <c r="S48" s="12" t="s">
        <v>50</v>
      </c>
      <c r="T48" s="12" t="s">
        <v>44</v>
      </c>
      <c r="U48" s="12" t="s">
        <v>79</v>
      </c>
      <c r="V48" s="12" t="s">
        <v>260</v>
      </c>
      <c r="W48" s="12">
        <v>2026</v>
      </c>
      <c r="X48" s="12">
        <v>4</v>
      </c>
      <c r="Y48" s="12">
        <v>17</v>
      </c>
      <c r="Z48" s="13" t="s">
        <v>25</v>
      </c>
      <c r="AA48" t="str">
        <f t="shared" si="0"/>
        <v>2026-04-24-GOOGL Apr24'26 347.5 CALL</v>
      </c>
      <c r="AB48" s="25">
        <v>47</v>
      </c>
    </row>
    <row r="49" spans="1:28" x14ac:dyDescent="0.3">
      <c r="A49" s="14">
        <v>364</v>
      </c>
      <c r="B49" s="15">
        <v>46139</v>
      </c>
      <c r="C49" s="16" t="s">
        <v>261</v>
      </c>
      <c r="D49" s="15">
        <v>46139</v>
      </c>
      <c r="E49" s="15" t="s">
        <v>27</v>
      </c>
      <c r="F49" s="15" t="s">
        <v>28</v>
      </c>
      <c r="G49" s="16" t="s">
        <v>262</v>
      </c>
      <c r="H49" s="16" t="s">
        <v>263</v>
      </c>
      <c r="I49" s="16">
        <v>1</v>
      </c>
      <c r="J49" s="16">
        <v>2.88</v>
      </c>
      <c r="K49" s="16">
        <v>3.89</v>
      </c>
      <c r="L49" s="16">
        <v>98.89</v>
      </c>
      <c r="M49" s="18">
        <v>0.34339999999999998</v>
      </c>
      <c r="N49" s="16">
        <v>2.11</v>
      </c>
      <c r="O49" s="19">
        <v>288</v>
      </c>
      <c r="P49" s="20">
        <v>220.12</v>
      </c>
      <c r="Q49" s="20" t="s">
        <v>264</v>
      </c>
      <c r="R49" s="20" t="s">
        <v>32</v>
      </c>
      <c r="S49" s="20" t="s">
        <v>33</v>
      </c>
      <c r="T49" s="20" t="s">
        <v>99</v>
      </c>
      <c r="U49" s="20" t="s">
        <v>51</v>
      </c>
      <c r="V49" s="20" t="s">
        <v>265</v>
      </c>
      <c r="W49" s="20">
        <v>2026</v>
      </c>
      <c r="X49" s="20">
        <v>4</v>
      </c>
      <c r="Y49" s="20">
        <v>18</v>
      </c>
      <c r="Z49" s="21" t="s">
        <v>25</v>
      </c>
      <c r="AA49" t="str">
        <f t="shared" si="0"/>
        <v>2026-04-27-NVDA May01'26 215 CALL</v>
      </c>
      <c r="AB49" s="26">
        <v>48</v>
      </c>
    </row>
    <row r="50" spans="1:28" x14ac:dyDescent="0.3">
      <c r="A50" s="7">
        <v>365</v>
      </c>
      <c r="B50" s="8">
        <v>46139</v>
      </c>
      <c r="C50" s="9" t="s">
        <v>266</v>
      </c>
      <c r="D50" s="8">
        <v>46139</v>
      </c>
      <c r="E50" s="8" t="s">
        <v>27</v>
      </c>
      <c r="F50" s="8" t="s">
        <v>28</v>
      </c>
      <c r="G50" s="9" t="s">
        <v>267</v>
      </c>
      <c r="H50" s="9" t="s">
        <v>268</v>
      </c>
      <c r="I50" s="9">
        <v>1</v>
      </c>
      <c r="J50" s="9">
        <v>3.96</v>
      </c>
      <c r="K50" s="9">
        <v>7.43</v>
      </c>
      <c r="L50" s="9">
        <v>345.38</v>
      </c>
      <c r="M50" s="10">
        <v>0.87219999999999998</v>
      </c>
      <c r="N50" s="9">
        <v>1.62</v>
      </c>
      <c r="O50" s="11">
        <v>396</v>
      </c>
      <c r="P50" s="12">
        <v>275.77999999999997</v>
      </c>
      <c r="Q50" s="12" t="s">
        <v>269</v>
      </c>
      <c r="R50" s="12" t="s">
        <v>32</v>
      </c>
      <c r="S50" s="12" t="s">
        <v>33</v>
      </c>
      <c r="T50" s="12" t="s">
        <v>34</v>
      </c>
      <c r="U50" s="12" t="s">
        <v>51</v>
      </c>
      <c r="V50" s="12" t="s">
        <v>270</v>
      </c>
      <c r="W50" s="12">
        <v>2026</v>
      </c>
      <c r="X50" s="12">
        <v>4</v>
      </c>
      <c r="Y50" s="12">
        <v>18</v>
      </c>
      <c r="Z50" s="13" t="s">
        <v>25</v>
      </c>
      <c r="AA50" t="str">
        <f t="shared" si="0"/>
        <v>2026-04-27-NVDA May08'26 215 CALL</v>
      </c>
      <c r="AB50" s="25">
        <v>49</v>
      </c>
    </row>
    <row r="51" spans="1:28" x14ac:dyDescent="0.3">
      <c r="A51" s="14">
        <v>366</v>
      </c>
      <c r="B51" s="15">
        <v>46139</v>
      </c>
      <c r="C51" s="16" t="s">
        <v>152</v>
      </c>
      <c r="D51" s="15">
        <v>46140</v>
      </c>
      <c r="E51" s="15" t="s">
        <v>38</v>
      </c>
      <c r="F51" s="16" t="s">
        <v>28</v>
      </c>
      <c r="G51" s="16" t="s">
        <v>271</v>
      </c>
      <c r="H51" s="16" t="s">
        <v>272</v>
      </c>
      <c r="I51" s="16">
        <v>100</v>
      </c>
      <c r="J51" s="16">
        <v>11.26</v>
      </c>
      <c r="K51" s="16">
        <v>14.87</v>
      </c>
      <c r="L51" s="16">
        <v>358.95</v>
      </c>
      <c r="M51" s="18">
        <v>0.31879999999999997</v>
      </c>
      <c r="N51" s="16">
        <v>2.0499999999999998</v>
      </c>
      <c r="O51" s="19">
        <v>1126</v>
      </c>
      <c r="P51" s="20">
        <v>1230.5</v>
      </c>
      <c r="Q51" s="20" t="s">
        <v>113</v>
      </c>
      <c r="R51" s="20" t="s">
        <v>43</v>
      </c>
      <c r="S51" s="20" t="s">
        <v>33</v>
      </c>
      <c r="T51" s="20" t="s">
        <v>44</v>
      </c>
      <c r="U51" s="20" t="s">
        <v>57</v>
      </c>
      <c r="V51" s="20" t="s">
        <v>273</v>
      </c>
      <c r="W51" s="20">
        <v>2026</v>
      </c>
      <c r="X51" s="20">
        <v>4</v>
      </c>
      <c r="Y51" s="20">
        <v>18</v>
      </c>
      <c r="Z51" s="21" t="s">
        <v>25</v>
      </c>
      <c r="AA51" t="str">
        <f t="shared" si="0"/>
        <v>2026-04-28-EDSA</v>
      </c>
      <c r="AB51" s="26">
        <v>50</v>
      </c>
    </row>
    <row r="52" spans="1:28" x14ac:dyDescent="0.3">
      <c r="A52" s="7">
        <v>367</v>
      </c>
      <c r="B52" s="8">
        <v>46140</v>
      </c>
      <c r="C52" s="9" t="s">
        <v>274</v>
      </c>
      <c r="D52" s="8">
        <v>46141</v>
      </c>
      <c r="E52" s="8" t="s">
        <v>38</v>
      </c>
      <c r="F52" s="9" t="s">
        <v>28</v>
      </c>
      <c r="G52" s="9" t="s">
        <v>275</v>
      </c>
      <c r="H52" s="9" t="s">
        <v>276</v>
      </c>
      <c r="I52" s="9">
        <v>30</v>
      </c>
      <c r="J52" s="9">
        <v>81.11</v>
      </c>
      <c r="K52" s="9">
        <v>83.42</v>
      </c>
      <c r="L52" s="9">
        <v>66.22</v>
      </c>
      <c r="M52" s="10">
        <v>2.7199999999999998E-2</v>
      </c>
      <c r="N52" s="9">
        <v>3.08</v>
      </c>
      <c r="O52" s="11">
        <v>2433</v>
      </c>
      <c r="P52" s="12">
        <v>1752.18</v>
      </c>
      <c r="Q52" s="12" t="s">
        <v>277</v>
      </c>
      <c r="R52" s="12" t="s">
        <v>43</v>
      </c>
      <c r="S52" s="12" t="s">
        <v>33</v>
      </c>
      <c r="T52" s="12" t="s">
        <v>44</v>
      </c>
      <c r="U52" s="12" t="s">
        <v>63</v>
      </c>
      <c r="V52" s="12" t="s">
        <v>278</v>
      </c>
      <c r="W52" s="12">
        <v>2026</v>
      </c>
      <c r="X52" s="12">
        <v>4</v>
      </c>
      <c r="Y52" s="12">
        <v>18</v>
      </c>
      <c r="Z52" s="13" t="s">
        <v>25</v>
      </c>
      <c r="AA52" t="str">
        <f t="shared" si="0"/>
        <v>2026-04-29-CVS</v>
      </c>
      <c r="AB52" s="25">
        <v>51</v>
      </c>
    </row>
    <row r="53" spans="1:28" x14ac:dyDescent="0.3">
      <c r="A53" s="14">
        <v>368</v>
      </c>
      <c r="B53" s="15">
        <v>46141</v>
      </c>
      <c r="C53" s="16" t="s">
        <v>279</v>
      </c>
      <c r="D53" s="15">
        <v>46141</v>
      </c>
      <c r="E53" s="15" t="s">
        <v>27</v>
      </c>
      <c r="F53" s="16" t="s">
        <v>28</v>
      </c>
      <c r="G53" s="16" t="s">
        <v>280</v>
      </c>
      <c r="H53" s="16" t="s">
        <v>281</v>
      </c>
      <c r="I53" s="16">
        <v>2</v>
      </c>
      <c r="J53" s="16">
        <v>1.64</v>
      </c>
      <c r="K53" s="16">
        <v>2.33</v>
      </c>
      <c r="L53" s="16">
        <v>135.69</v>
      </c>
      <c r="M53" s="18">
        <v>0.41370000000000001</v>
      </c>
      <c r="N53" s="16">
        <v>2.31</v>
      </c>
      <c r="O53" s="19">
        <v>328</v>
      </c>
      <c r="P53" s="20">
        <v>348.15</v>
      </c>
      <c r="Q53" s="20" t="s">
        <v>282</v>
      </c>
      <c r="R53" s="20" t="s">
        <v>32</v>
      </c>
      <c r="S53" s="20" t="s">
        <v>33</v>
      </c>
      <c r="T53" s="20" t="s">
        <v>44</v>
      </c>
      <c r="U53" s="20" t="s">
        <v>63</v>
      </c>
      <c r="V53" s="20" t="s">
        <v>283</v>
      </c>
      <c r="W53" s="20">
        <v>2026</v>
      </c>
      <c r="X53" s="20">
        <v>4</v>
      </c>
      <c r="Y53" s="20">
        <v>18</v>
      </c>
      <c r="Z53" s="21" t="s">
        <v>25</v>
      </c>
      <c r="AA53" t="str">
        <f t="shared" si="0"/>
        <v>2026-04-29-CVS May15'26 85 CALL</v>
      </c>
      <c r="AB53" s="26">
        <v>52</v>
      </c>
    </row>
    <row r="54" spans="1:28" x14ac:dyDescent="0.3">
      <c r="A54" s="7">
        <v>369</v>
      </c>
      <c r="B54" s="8">
        <v>46141</v>
      </c>
      <c r="C54" s="9" t="s">
        <v>284</v>
      </c>
      <c r="D54" s="8">
        <v>46141</v>
      </c>
      <c r="E54" s="8" t="s">
        <v>38</v>
      </c>
      <c r="F54" s="9" t="s">
        <v>28</v>
      </c>
      <c r="G54" s="9" t="s">
        <v>285</v>
      </c>
      <c r="H54" s="9" t="s">
        <v>286</v>
      </c>
      <c r="I54" s="9">
        <v>10</v>
      </c>
      <c r="J54" s="9">
        <v>290.13</v>
      </c>
      <c r="K54" s="9">
        <v>292.38</v>
      </c>
      <c r="L54" s="9">
        <v>20.440000000000001</v>
      </c>
      <c r="M54" s="10">
        <v>7.0000000000000001E-3</v>
      </c>
      <c r="N54" s="9">
        <v>2.06</v>
      </c>
      <c r="O54" s="11">
        <v>2901</v>
      </c>
      <c r="P54" s="12">
        <v>166.93</v>
      </c>
      <c r="Q54" s="12" t="s">
        <v>287</v>
      </c>
      <c r="R54" s="12" t="s">
        <v>32</v>
      </c>
      <c r="S54" s="12" t="s">
        <v>33</v>
      </c>
      <c r="T54" s="12" t="s">
        <v>44</v>
      </c>
      <c r="U54" s="12" t="s">
        <v>63</v>
      </c>
      <c r="V54" s="12" t="s">
        <v>288</v>
      </c>
      <c r="W54" s="12">
        <v>2026</v>
      </c>
      <c r="X54" s="12">
        <v>4</v>
      </c>
      <c r="Y54" s="12">
        <v>18</v>
      </c>
      <c r="Z54" s="13" t="s">
        <v>25</v>
      </c>
      <c r="AA54" t="str">
        <f t="shared" si="0"/>
        <v>2026-04-29-CI</v>
      </c>
      <c r="AB54" s="25">
        <v>53</v>
      </c>
    </row>
    <row r="55" spans="1:28" x14ac:dyDescent="0.3">
      <c r="A55" s="14">
        <v>370</v>
      </c>
      <c r="B55" s="15">
        <v>46139</v>
      </c>
      <c r="C55" s="16" t="s">
        <v>289</v>
      </c>
      <c r="D55" s="15">
        <v>46142</v>
      </c>
      <c r="E55" s="15" t="s">
        <v>27</v>
      </c>
      <c r="F55" s="15" t="s">
        <v>28</v>
      </c>
      <c r="G55" s="16" t="s">
        <v>290</v>
      </c>
      <c r="H55" s="16" t="s">
        <v>291</v>
      </c>
      <c r="I55" s="16">
        <v>1</v>
      </c>
      <c r="J55" s="16">
        <v>2.04</v>
      </c>
      <c r="K55" s="16">
        <v>0.9</v>
      </c>
      <c r="L55" s="16">
        <v>-116.1</v>
      </c>
      <c r="M55" s="18">
        <v>-0.56910000000000005</v>
      </c>
      <c r="N55" s="16">
        <v>2.1</v>
      </c>
      <c r="O55" s="19">
        <v>204</v>
      </c>
      <c r="P55" s="20">
        <v>4247.13</v>
      </c>
      <c r="Q55" s="20" t="s">
        <v>221</v>
      </c>
      <c r="R55" s="20" t="s">
        <v>43</v>
      </c>
      <c r="S55" s="20" t="s">
        <v>50</v>
      </c>
      <c r="T55" s="20" t="s">
        <v>99</v>
      </c>
      <c r="U55" s="20" t="s">
        <v>35</v>
      </c>
      <c r="V55" s="20" t="s">
        <v>292</v>
      </c>
      <c r="W55" s="20">
        <v>2026</v>
      </c>
      <c r="X55" s="20">
        <v>4</v>
      </c>
      <c r="Y55" s="20">
        <v>18</v>
      </c>
      <c r="Z55" s="21" t="s">
        <v>25</v>
      </c>
      <c r="AA55" t="str">
        <f t="shared" si="0"/>
        <v>2026-04-30-IREN May15'26 60 CALL</v>
      </c>
      <c r="AB55" s="26">
        <v>54</v>
      </c>
    </row>
    <row r="56" spans="1:28" x14ac:dyDescent="0.3">
      <c r="A56" s="7">
        <v>371</v>
      </c>
      <c r="B56" s="8">
        <v>46142</v>
      </c>
      <c r="C56" s="9" t="s">
        <v>284</v>
      </c>
      <c r="D56" s="8">
        <v>46142</v>
      </c>
      <c r="E56" s="8" t="s">
        <v>38</v>
      </c>
      <c r="F56" s="8" t="s">
        <v>28</v>
      </c>
      <c r="G56" s="9" t="s">
        <v>293</v>
      </c>
      <c r="H56" s="9" t="s">
        <v>294</v>
      </c>
      <c r="I56" s="9">
        <v>10</v>
      </c>
      <c r="J56" s="9">
        <v>286.19</v>
      </c>
      <c r="K56" s="9">
        <v>287.5</v>
      </c>
      <c r="L56" s="9">
        <v>11.04</v>
      </c>
      <c r="M56" s="10">
        <v>3.8999999999999998E-3</v>
      </c>
      <c r="N56" s="9">
        <v>2.06</v>
      </c>
      <c r="O56" s="11">
        <v>2861</v>
      </c>
      <c r="P56" s="12">
        <v>37.17</v>
      </c>
      <c r="Q56" s="12" t="s">
        <v>295</v>
      </c>
      <c r="R56" s="12" t="s">
        <v>32</v>
      </c>
      <c r="S56" s="12" t="s">
        <v>33</v>
      </c>
      <c r="T56" s="12" t="s">
        <v>44</v>
      </c>
      <c r="U56" s="12" t="s">
        <v>35</v>
      </c>
      <c r="V56" s="12" t="s">
        <v>296</v>
      </c>
      <c r="W56" s="12">
        <v>2026</v>
      </c>
      <c r="X56" s="12">
        <v>4</v>
      </c>
      <c r="Y56" s="12">
        <v>18</v>
      </c>
      <c r="Z56" s="13" t="s">
        <v>25</v>
      </c>
      <c r="AA56" t="str">
        <f t="shared" si="0"/>
        <v>2026-04-30-CI</v>
      </c>
      <c r="AB56" s="25">
        <v>55</v>
      </c>
    </row>
    <row r="57" spans="1:28" x14ac:dyDescent="0.3">
      <c r="A57" s="14">
        <v>372</v>
      </c>
      <c r="B57" s="15">
        <v>46142</v>
      </c>
      <c r="C57" s="16" t="s">
        <v>297</v>
      </c>
      <c r="D57" s="15">
        <v>46142</v>
      </c>
      <c r="E57" s="15" t="s">
        <v>27</v>
      </c>
      <c r="F57" s="15" t="s">
        <v>28</v>
      </c>
      <c r="G57" s="16" t="s">
        <v>298</v>
      </c>
      <c r="H57" s="16" t="s">
        <v>299</v>
      </c>
      <c r="I57" s="16">
        <v>1</v>
      </c>
      <c r="J57" s="16">
        <v>2.12</v>
      </c>
      <c r="K57" s="16">
        <v>2.37</v>
      </c>
      <c r="L57" s="16">
        <v>23.31</v>
      </c>
      <c r="M57" s="18">
        <v>0.11</v>
      </c>
      <c r="N57" s="16">
        <v>1.69</v>
      </c>
      <c r="O57" s="19">
        <v>212</v>
      </c>
      <c r="P57" s="20">
        <v>26.2</v>
      </c>
      <c r="Q57" s="20" t="s">
        <v>300</v>
      </c>
      <c r="R57" s="20" t="s">
        <v>32</v>
      </c>
      <c r="S57" s="20" t="s">
        <v>33</v>
      </c>
      <c r="T57" s="20" t="s">
        <v>99</v>
      </c>
      <c r="U57" s="20" t="s">
        <v>35</v>
      </c>
      <c r="V57" s="20" t="s">
        <v>301</v>
      </c>
      <c r="W57" s="20">
        <v>2026</v>
      </c>
      <c r="X57" s="20">
        <v>4</v>
      </c>
      <c r="Y57" s="20">
        <v>18</v>
      </c>
      <c r="Z57" s="21" t="s">
        <v>25</v>
      </c>
      <c r="AA57" t="str">
        <f t="shared" si="0"/>
        <v>2026-04-30-TSLA May01'26 385 CALL</v>
      </c>
      <c r="AB57" s="26">
        <v>56</v>
      </c>
    </row>
  </sheetData>
  <autoFilter ref="A1:AB57" xr:uid="{F2025631-5F16-4CCE-B93C-1B6C33097C13}"/>
  <conditionalFormatting sqref="V1:V5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Mehrdad Dadgar</dc:creator>
  <cp:lastModifiedBy>Dadgar, Mehrdad</cp:lastModifiedBy>
  <dcterms:created xsi:type="dcterms:W3CDTF">2026-06-19T13:12:13Z</dcterms:created>
  <dcterms:modified xsi:type="dcterms:W3CDTF">2026-07-03T01:30:41Z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5bc0f991-b30c-4fe1-8319-d9c86b49d88b</vt:lpwstr>
  </property>
</Properties>
</file>